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ate1904="1"/>
  <mc:AlternateContent xmlns:mc="http://schemas.openxmlformats.org/markup-compatibility/2006">
    <mc:Choice Requires="x15">
      <x15ac:absPath xmlns:x15ac="http://schemas.microsoft.com/office/spreadsheetml/2010/11/ac" url="/Users/mattbernard/Desktop/docs.NOSYNC/"/>
    </mc:Choice>
  </mc:AlternateContent>
  <xr:revisionPtr revIDLastSave="0" documentId="13_ncr:1_{7BD72FD7-F472-B741-A643-8492F8816F5D}" xr6:coauthVersionLast="47" xr6:coauthVersionMax="47" xr10:uidLastSave="{00000000-0000-0000-0000-000000000000}"/>
  <bookViews>
    <workbookView xWindow="0" yWindow="0" windowWidth="28800" windowHeight="16760" activeTab="4" xr2:uid="{00000000-000D-0000-FFFF-FFFF00000000}"/>
  </bookViews>
  <sheets>
    <sheet name="Truck Details" sheetId="6" r:id="rId1"/>
    <sheet name="Oil Changes - Oil Changes and M" sheetId="1" r:id="rId2"/>
    <sheet name="Other Services" sheetId="2" r:id="rId3"/>
    <sheet name="Misc - Observations" sheetId="4" r:id="rId4"/>
    <sheet name="Interval Tracking" sheetId="5" r:id="rId5"/>
  </sheets>
  <definedNames>
    <definedName name="_xlnm._FilterDatabase" localSheetId="4" hidden="1">'Interval Tracking'!$A$9:$L$16</definedName>
    <definedName name="_xlnm._FilterDatabase" localSheetId="2" hidden="1">'Other Services'!#REF!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36" i="1" l="1"/>
  <c r="D36" i="1"/>
  <c r="D35" i="1"/>
  <c r="E35" i="1"/>
  <c r="D37" i="1"/>
  <c r="E37" i="1"/>
  <c r="D38" i="1"/>
  <c r="E38" i="1"/>
  <c r="E34" i="1"/>
  <c r="D34" i="1"/>
  <c r="E28" i="5"/>
  <c r="G28" i="5"/>
  <c r="D32" i="1"/>
  <c r="D33" i="1"/>
  <c r="D39" i="1"/>
  <c r="D40" i="1"/>
  <c r="E32" i="1"/>
  <c r="E33" i="1"/>
  <c r="E39" i="1"/>
  <c r="E40" i="1"/>
  <c r="E5" i="1"/>
  <c r="E6" i="1"/>
  <c r="E7" i="1"/>
  <c r="E8" i="1"/>
  <c r="E9" i="1"/>
  <c r="E10" i="1"/>
  <c r="E11" i="1"/>
  <c r="E12" i="1"/>
  <c r="E13" i="1"/>
  <c r="E14" i="1"/>
  <c r="E15" i="1"/>
  <c r="E16" i="1"/>
  <c r="E17" i="1"/>
  <c r="E18" i="1"/>
  <c r="E19" i="1"/>
  <c r="E20" i="1"/>
  <c r="E21" i="1"/>
  <c r="E22" i="1"/>
  <c r="E23" i="1"/>
  <c r="E24" i="1"/>
  <c r="E25" i="1"/>
  <c r="E26" i="1"/>
  <c r="E27" i="1"/>
  <c r="E28" i="1"/>
  <c r="E29" i="1"/>
  <c r="E30" i="1"/>
  <c r="E31" i="1"/>
  <c r="E4" i="1"/>
  <c r="K11" i="5"/>
  <c r="K12" i="5"/>
  <c r="K19" i="5"/>
  <c r="K23" i="5"/>
  <c r="K25" i="5"/>
  <c r="K17" i="5"/>
  <c r="K10" i="5"/>
  <c r="K13" i="5"/>
  <c r="K14" i="5"/>
  <c r="K15" i="5"/>
  <c r="K16" i="5"/>
  <c r="K18" i="5"/>
  <c r="K26" i="5"/>
  <c r="K20" i="5"/>
  <c r="K21" i="5"/>
  <c r="K22" i="5"/>
  <c r="K24" i="5"/>
  <c r="K27" i="5"/>
  <c r="K28" i="5"/>
  <c r="H10" i="5"/>
  <c r="H13" i="5"/>
  <c r="H14" i="5"/>
  <c r="H15" i="5"/>
  <c r="H16" i="5"/>
  <c r="H18" i="5"/>
  <c r="H26" i="5"/>
  <c r="H20" i="5"/>
  <c r="H21" i="5"/>
  <c r="H22" i="5"/>
  <c r="H24" i="5"/>
  <c r="H27" i="5"/>
  <c r="G10" i="5"/>
  <c r="G13" i="5"/>
  <c r="G14" i="5"/>
  <c r="G15" i="5"/>
  <c r="G16" i="5"/>
  <c r="G18" i="5"/>
  <c r="G26" i="5"/>
  <c r="G20" i="5"/>
  <c r="G21" i="5"/>
  <c r="G22" i="5"/>
  <c r="G24" i="5"/>
  <c r="G27" i="5"/>
  <c r="E11" i="5"/>
  <c r="E12" i="5"/>
  <c r="E19" i="5"/>
  <c r="E23" i="5"/>
  <c r="E25" i="5"/>
  <c r="E17" i="5"/>
  <c r="E10" i="5"/>
  <c r="E13" i="5"/>
  <c r="E14" i="5"/>
  <c r="E15" i="5"/>
  <c r="E16" i="5"/>
  <c r="E18" i="5"/>
  <c r="E26" i="5"/>
  <c r="E20" i="5"/>
  <c r="E21" i="5"/>
  <c r="E22" i="5"/>
  <c r="E24" i="5"/>
  <c r="E27" i="5"/>
  <c r="I32" i="5"/>
  <c r="I33" i="5" s="1"/>
  <c r="B4" i="5"/>
  <c r="B3" i="5" s="1"/>
  <c r="B6" i="5" s="1"/>
  <c r="I2" i="1"/>
  <c r="H28" i="5"/>
  <c r="D31" i="1"/>
  <c r="D26" i="1"/>
  <c r="D27" i="1"/>
  <c r="D28" i="1"/>
  <c r="D29" i="1"/>
  <c r="D30" i="1"/>
  <c r="L23" i="5" l="1"/>
  <c r="L25" i="5"/>
  <c r="L26" i="5"/>
  <c r="L10" i="5"/>
  <c r="L18" i="5"/>
  <c r="L17" i="5"/>
  <c r="L19" i="5"/>
  <c r="L20" i="5"/>
  <c r="L12" i="5"/>
  <c r="L24" i="5"/>
  <c r="L13" i="5"/>
  <c r="L27" i="5"/>
  <c r="L28" i="5"/>
  <c r="L14" i="5"/>
  <c r="L11" i="5"/>
  <c r="L21" i="5"/>
  <c r="L22" i="5"/>
  <c r="L15" i="5"/>
  <c r="L16" i="5"/>
  <c r="D5" i="1"/>
  <c r="D6" i="1"/>
  <c r="D7" i="1"/>
  <c r="D8" i="1"/>
  <c r="D9" i="1"/>
  <c r="D10" i="1"/>
  <c r="D11" i="1"/>
  <c r="D12" i="1"/>
  <c r="D13" i="1"/>
  <c r="D14" i="1"/>
  <c r="D15" i="1"/>
  <c r="D16" i="1"/>
  <c r="D17" i="1"/>
  <c r="D18" i="1"/>
  <c r="D19" i="1"/>
  <c r="D20" i="1"/>
  <c r="D21" i="1"/>
  <c r="D22" i="1"/>
  <c r="D23" i="1"/>
  <c r="D24" i="1"/>
  <c r="D25" i="1"/>
  <c r="D4" i="1"/>
  <c r="G23" i="5"/>
  <c r="H23" i="5" s="1"/>
  <c r="G25" i="5"/>
  <c r="H25" i="5" s="1"/>
  <c r="G19" i="5"/>
  <c r="H19" i="5" s="1"/>
  <c r="G11" i="5"/>
  <c r="H11" i="5" s="1"/>
  <c r="G12" i="5"/>
  <c r="H12" i="5" s="1"/>
  <c r="D41" i="1" l="1"/>
  <c r="I34" i="5"/>
  <c r="G17" i="5" l="1"/>
  <c r="H17"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6" authorId="0" shapeId="0" xr:uid="{60A9F1B3-89D6-E34B-B6A1-5F018F0C5CD1}">
      <text>
        <r>
          <rPr>
            <b/>
            <sz val="10"/>
            <color rgb="FF000000"/>
            <rFont val="Tahoma"/>
            <family val="2"/>
          </rPr>
          <t>Microsoft Office User:</t>
        </r>
        <r>
          <rPr>
            <sz val="10"/>
            <color rgb="FF000000"/>
            <rFont val="Tahoma"/>
            <family val="2"/>
          </rPr>
          <t xml:space="preserve">
</t>
        </r>
        <r>
          <rPr>
            <sz val="10"/>
            <color rgb="FF000000"/>
            <rFont val="Tahoma"/>
            <family val="2"/>
          </rPr>
          <t xml:space="preserve">Rounded Up
</t>
        </r>
      </text>
    </comment>
  </commentList>
</comments>
</file>

<file path=xl/sharedStrings.xml><?xml version="1.0" encoding="utf-8"?>
<sst xmlns="http://schemas.openxmlformats.org/spreadsheetml/2006/main" count="292" uniqueCount="162">
  <si>
    <t>Oil Changes and Mileage</t>
  </si>
  <si>
    <t>Date</t>
  </si>
  <si>
    <t>Facility</t>
  </si>
  <si>
    <t>Mileage</t>
  </si>
  <si>
    <t>Legacy Toyota - Tennessee Street</t>
  </si>
  <si>
    <t>Super Lube - Apalachee Street</t>
  </si>
  <si>
    <t>Super Lube - Mahan Drive</t>
  </si>
  <si>
    <t>Qwik Lube - Apalachee Street</t>
  </si>
  <si>
    <t>Kraft Nissan</t>
  </si>
  <si>
    <t>Auto Super Service Center</t>
  </si>
  <si>
    <t>Service</t>
  </si>
  <si>
    <t>Comments</t>
  </si>
  <si>
    <t>Legacy Toyota</t>
  </si>
  <si>
    <t>Body Work</t>
  </si>
  <si>
    <t>Alignment Check</t>
  </si>
  <si>
    <t>Tire Repaired
Air Filter Replaced</t>
  </si>
  <si>
    <t>Drivability/Performance Check</t>
  </si>
  <si>
    <t>CUSTOMER STATES VEHICLE HAS A KN OCKING NOISE ON ACCELERATION, MO RE UP HILL FROM 40-50MPH ~|~SPARK KNOCK ~|~25268 TEST DROVE VEHICLE A ND HEARD SPARKKNOCK ON LIGHT ACC ELERATION AND ON INCLINES.UPDATE D ECM WITH NEW CALIBRATION #3048 0100 TOREDUCE THE POSSIBILITY OF THIS ISSUE. ADVISEDCUSTOMER HIG HER OCTANE FUEL WILL HELP ALSO</t>
  </si>
  <si>
    <t>Cabin Air Filter</t>
  </si>
  <si>
    <t>Unknown</t>
  </si>
  <si>
    <t>Rear Differential Fluid Replace</t>
  </si>
  <si>
    <t>Cabin Air Filter Replaced
Air Filter replaced
Alignment</t>
  </si>
  <si>
    <t>Tuning Point</t>
  </si>
  <si>
    <t>Rear Brake Shoes Replaced
Resurface Drum</t>
  </si>
  <si>
    <t>Rear brakes making a squeaking sound</t>
  </si>
  <si>
    <t>Discount Tire - Killearn</t>
  </si>
  <si>
    <t>Replace two tires</t>
  </si>
  <si>
    <t>Two tires replaced vibrated and had about 4/32 of tread left</t>
  </si>
  <si>
    <t>Air Filter Replace
Cabin Air Filter Replace
Flush Cooling System</t>
  </si>
  <si>
    <t>No issues noted before service, routine maintenance</t>
  </si>
  <si>
    <t>Spark Plugs</t>
  </si>
  <si>
    <t>No issues noted before service, routine maintenance
90919-01235</t>
  </si>
  <si>
    <t>DIY</t>
  </si>
  <si>
    <t>Rear Differential Fluid Replace
Clean MAF
Uni Filter Mod</t>
  </si>
  <si>
    <t>Observations</t>
  </si>
  <si>
    <t>Observation</t>
  </si>
  <si>
    <t>Tires Rotated</t>
  </si>
  <si>
    <t>legacy Toyota</t>
  </si>
  <si>
    <t>5000 mile Service</t>
  </si>
  <si>
    <t>Tires Rotated, Safety Inspection</t>
  </si>
  <si>
    <t>Comment</t>
  </si>
  <si>
    <t>Regular Oil and Toyota Filter</t>
  </si>
  <si>
    <t>Synthetic Oil and Toyota Filter</t>
  </si>
  <si>
    <t>Replacement Battery</t>
  </si>
  <si>
    <t>I checked the throttle body and it was very clean. I decided not to mess with it. New fog light bulbs were installed, no issues.  New headlight bulbs on in order, Philips X-treme Vision +130%</t>
  </si>
  <si>
    <t>Air Filter Replaced
Cabin Filter Replaced
Rear Differential Fluid Changed
Transmission Fluid Changed</t>
  </si>
  <si>
    <t>Replace Power Steering Fluid</t>
  </si>
  <si>
    <t>Interstate Battery (852154 24F) Costco.</t>
  </si>
  <si>
    <t>Truck is making a clicking sound from the front suspension when backing up or pulling forward from a stop</t>
  </si>
  <si>
    <t>Item</t>
  </si>
  <si>
    <t>Air Induction Cleaning
Fuel Injector Cleaning
Serpentine Belt Replacement</t>
  </si>
  <si>
    <t>Rear Brakes</t>
  </si>
  <si>
    <t>Front brakes worn down to 5mm, needs replaced next service</t>
  </si>
  <si>
    <t>No issues noted, Sloooow service.</t>
  </si>
  <si>
    <t>Total Miles--&gt;</t>
  </si>
  <si>
    <t>Air Filter</t>
  </si>
  <si>
    <t>Cabin Filter</t>
  </si>
  <si>
    <t xml:space="preserve"> </t>
  </si>
  <si>
    <t>Approx. Cost</t>
  </si>
  <si>
    <t>Battery</t>
  </si>
  <si>
    <t>Induction Cleaning Service</t>
  </si>
  <si>
    <t>Fuel Injection Cleaning</t>
  </si>
  <si>
    <t>Next Service</t>
  </si>
  <si>
    <t>N</t>
  </si>
  <si>
    <t>Touch Up Paint</t>
  </si>
  <si>
    <t>Touched up a few scratches on the truck. Still a few sanding marks remain and the hood chip could be improved. Looks better than before and all rust was removed.</t>
  </si>
  <si>
    <t>Clicking sound from front is still present, it also occurs over bumps. Handling doesn't seem affected.</t>
  </si>
  <si>
    <t>Sub Total</t>
  </si>
  <si>
    <t>Tax + Shop Fees</t>
  </si>
  <si>
    <t>Total</t>
  </si>
  <si>
    <t>Scheduled</t>
  </si>
  <si>
    <t>Brakes and Spark Plugs</t>
  </si>
  <si>
    <t>Front Brakes and New Rotors
Brake Fluid Flush
Spark Plugs
Tire Rotation</t>
  </si>
  <si>
    <t>Read online that someone who performed the unifilter mod experienced air injection failure. They said that red particles got all over the impeller and air valve. I took the cover off the pump and the inside was clean with no visible dust. Also, the impeller didn't have any red particles or any other signs of filter failure. I'll check it every 6 months for signs of damage or other kinds of failure.
The brakes still feel a bit soft after the work done today. Next time it's in I'll ask them to adjust the rear brakes, that should firm them up.</t>
  </si>
  <si>
    <t>Air Filter Replace</t>
  </si>
  <si>
    <t>No issues noted, old filter in good condition</t>
  </si>
  <si>
    <t>Rear brakes are squeaking. I've also noticed a very faint whine from the engine. It may have always been there. I'll keep an eye on it, perhaps a tensioner?</t>
  </si>
  <si>
    <t>legacy Toyota - Tennessee Street</t>
  </si>
  <si>
    <t>Diagnosed front end sound, needs new lower control arms.</t>
  </si>
  <si>
    <t>No issues noted before service, routine maintenance
Old fluid came out golden brown
Redline Synthetic 75W90
Uni-Filter Mod:
Secondary air injection pump has a small foam filter that can harden and flake off over time. This can damage the air pump and  air valves. I replaced the inlet cover on the pump with the uni filter. The foam filter I took off was still supple and I didn’t see any evidence that it had started to flake off. The pump was operating normally before and after the repair. Foam filter and Inlet cover was saved.</t>
  </si>
  <si>
    <t>Regular Oil and Toyota Filter, dealer didn't change filter.</t>
  </si>
  <si>
    <t>Changed both lower control arms and clunk is still present. Think it might be the sway bar bushings, can't be sure though. Front suspension does seem to feel a little bit tighter.</t>
  </si>
  <si>
    <t>Replaced lower control arms, bushings and lower ball joint.</t>
  </si>
  <si>
    <t>Dealer checked on front end clunk and found that it needed new control arms on both sides. They didn't replace the oil filter, will take care of that a little bit later, before 5k though.</t>
  </si>
  <si>
    <t>Current</t>
  </si>
  <si>
    <t>Diff</t>
  </si>
  <si>
    <t>Lower Control arms
Wheel Alignment</t>
  </si>
  <si>
    <t>Front End Alignment</t>
  </si>
  <si>
    <t>Tires - Michelin Defender LTX M/S</t>
  </si>
  <si>
    <t>4 New Tires and 5 Sensors</t>
  </si>
  <si>
    <t>Michelin Defenders LTS M/S
5 New TPMS Sensors (Continental)</t>
  </si>
  <si>
    <t>The blower motor has stopped working a few times on low speeds. I thought it was the resistor but, it seems like the connection has worked loose. I disconnected and reconnected it and all speeds work as expected. I didn't notice any burnt wires or connectors, just a little browning.</t>
  </si>
  <si>
    <t>DIscount Tire - Killearn</t>
  </si>
  <si>
    <t>Tire Repaired</t>
  </si>
  <si>
    <t>Front driver side tire had a screw in the center of the tire.  Patched and Plugged</t>
  </si>
  <si>
    <t>Front driver side tire has a metal object sticking out of the tire close to the side wall. Watching to see if it leaks air, may have to replace</t>
  </si>
  <si>
    <t>Blower Motor Resistor and Connector</t>
  </si>
  <si>
    <t>Replaced blower motor resistor and harness</t>
  </si>
  <si>
    <t>Last Service Miles</t>
  </si>
  <si>
    <t>Elapsed Miles</t>
  </si>
  <si>
    <t>Shop Fee</t>
  </si>
  <si>
    <t>Tax Rate</t>
  </si>
  <si>
    <t>Previous Owner</t>
  </si>
  <si>
    <t>Resistor and Harness Replaced</t>
  </si>
  <si>
    <t>Average Mileage Weekly</t>
  </si>
  <si>
    <t>Average Daily Mileage</t>
  </si>
  <si>
    <t>Average Monthly Mileage</t>
  </si>
  <si>
    <t>Current Mileage</t>
  </si>
  <si>
    <t>Fuel Cost</t>
  </si>
  <si>
    <t>Average MPG</t>
  </si>
  <si>
    <t>Approx. Fuel Cost</t>
  </si>
  <si>
    <t>Y</t>
  </si>
  <si>
    <r>
      <t xml:space="preserve">Truck overall operating condition is good.
Transmission:
I wonder if the transmission is operating correctly. The transmission seems to be hunting for gears at low speeds. Research online seems to indicate that this is normal. From what I can gather the transmission adapts to your driving and adjust shift points. It does seems to be better from when we first purchased it.
Dad also has the same issues with his Tacoma, he has not had to perform any repairs on it at this time. I plan on draining the fluid in the next couple of months.
Oil Drain Intervals
I’m debating at this point on whether or not to perform 3K or 5k mile oil changes. Looking in the oil fill tube shows that the visible internal engine parts and surrounding metal are pristine. 
I think I will go at least 3K and no more than 5K, and of course no more than 6 months in any circumstance. Probably will use synthetic although I haven’t decided on what brand, Mobile 1? 
Current use on the truck is around 10K miles a year.
Future Plans:
Replace PCV Valve
Clean Throttle Body - </t>
    </r>
    <r>
      <rPr>
        <b/>
        <sz val="10"/>
        <color rgb="FF000000"/>
        <rFont val="Helvetica Neue"/>
        <family val="2"/>
      </rPr>
      <t>Done</t>
    </r>
    <r>
      <rPr>
        <sz val="10"/>
        <color indexed="8"/>
        <rFont val="Helvetica Neue"/>
        <family val="2"/>
      </rPr>
      <t xml:space="preserve">
Drain and Fill the transmission - </t>
    </r>
    <r>
      <rPr>
        <b/>
        <sz val="10"/>
        <color rgb="FF000000"/>
        <rFont val="Helvetica Neue"/>
        <family val="2"/>
      </rPr>
      <t>Done</t>
    </r>
    <r>
      <rPr>
        <sz val="10"/>
        <color indexed="8"/>
        <rFont val="Helvetica Neue"/>
        <family val="2"/>
      </rPr>
      <t xml:space="preserve">
Rear Shocks?
Clay bar windshield - </t>
    </r>
    <r>
      <rPr>
        <b/>
        <sz val="10"/>
        <color rgb="FF000000"/>
        <rFont val="Helvetica Neue"/>
        <family val="2"/>
      </rPr>
      <t>No affect, needs replaced</t>
    </r>
    <r>
      <rPr>
        <sz val="10"/>
        <color indexed="8"/>
        <rFont val="Helvetica Neue"/>
        <family val="2"/>
      </rPr>
      <t xml:space="preserve">
Fog lights -  HELLA H71071132 Optilux XY Series H11 Xenon Yellow Halogen Bulb Set, 12V, 55W - </t>
    </r>
    <r>
      <rPr>
        <b/>
        <sz val="10"/>
        <color rgb="FF000000"/>
        <rFont val="Helvetica Neue"/>
        <family val="2"/>
      </rPr>
      <t>Done</t>
    </r>
    <r>
      <rPr>
        <sz val="10"/>
        <color indexed="8"/>
        <rFont val="Helvetica Neue"/>
        <family val="2"/>
      </rPr>
      <t xml:space="preserve">
</t>
    </r>
  </si>
  <si>
    <r>
      <t xml:space="preserve">The passenger side roof rubber strip almost blew off on the interstate. Will need to figure a way to keep it from blowing off. </t>
    </r>
    <r>
      <rPr>
        <b/>
        <sz val="10"/>
        <color rgb="FF000000"/>
        <rFont val="Helvetica Neue"/>
        <family val="2"/>
      </rPr>
      <t xml:space="preserve">Used a bit of RTV to keep strip from coming out at high speeds. </t>
    </r>
  </si>
  <si>
    <t>AC light flashes intermittently. Clunking noise on front end hasn't changed, better or worse.</t>
  </si>
  <si>
    <t>Front Lower Control Arms (Both Sides)</t>
  </si>
  <si>
    <t>Last Service Date</t>
  </si>
  <si>
    <t>Next Service Mileage</t>
  </si>
  <si>
    <t>Due Soon</t>
  </si>
  <si>
    <t>Overdue</t>
  </si>
  <si>
    <t>Recommended Interval</t>
  </si>
  <si>
    <t>Months Elapsed</t>
  </si>
  <si>
    <t>Years Elapsed</t>
  </si>
  <si>
    <t>Spark Plugs (Copper)</t>
  </si>
  <si>
    <t>Transmission (OEM Fluid)</t>
  </si>
  <si>
    <t>Power Steering (OEM Fluid)</t>
  </si>
  <si>
    <t>-</t>
  </si>
  <si>
    <t>Tire Rotated, multipoint inspection</t>
  </si>
  <si>
    <t>Front brakes are worn down to 6mm</t>
  </si>
  <si>
    <t>Tires Rotated
Air Filter replaced
Cabin Air Filter Replaced</t>
  </si>
  <si>
    <t>Type</t>
  </si>
  <si>
    <t>Regular</t>
  </si>
  <si>
    <t>Ad-Hoc</t>
  </si>
  <si>
    <t>Serpentine belt was chirping and dealer said it was chipped.
Dealer says brake fluid needed changed, fluid looks very light brown, will hold off until rear brakes are changed.</t>
  </si>
  <si>
    <t>Coolant (OEM Fluid)</t>
  </si>
  <si>
    <t>Rear Differential (OEM Fluid)</t>
  </si>
  <si>
    <t>Brake Fluid Flush (OEM Fluid)</t>
  </si>
  <si>
    <t>Oil Change (Mobile 1 Conv.) and Tire Rotation</t>
  </si>
  <si>
    <t>Interval - Miles</t>
  </si>
  <si>
    <t>Interval - Months</t>
  </si>
  <si>
    <t>Dealer says battery is down to 600CCA, may need replaced when it gets cold.</t>
  </si>
  <si>
    <t>Make</t>
  </si>
  <si>
    <t>Model</t>
  </si>
  <si>
    <t>Color</t>
  </si>
  <si>
    <t>Toyota</t>
  </si>
  <si>
    <t>Tacoma</t>
  </si>
  <si>
    <t>Gray</t>
  </si>
  <si>
    <t>Trim</t>
  </si>
  <si>
    <t xml:space="preserve">2WD Double Cab V6 </t>
  </si>
  <si>
    <t>VIN</t>
  </si>
  <si>
    <t>5TFJU46N5DXD39214</t>
  </si>
  <si>
    <t>Year</t>
  </si>
  <si>
    <t>Take 5</t>
  </si>
  <si>
    <t>Regular Oil and Filter</t>
  </si>
  <si>
    <t>Idler Pulley
Tensioner
Belt
Front Brakes and Rotors
Brake Fluid Replacement</t>
  </si>
  <si>
    <t>Pulleys making roaring sound
Brake work down past limit</t>
  </si>
  <si>
    <t>Bass Auto Repair</t>
  </si>
  <si>
    <t>Front Brakes / New Rotors and Pads</t>
  </si>
  <si>
    <t>Serpentine Belt and Pulleys</t>
  </si>
  <si>
    <t>Regular Oil and Filter, used extraction to remove oil, not sure if they got it all?</t>
  </si>
  <si>
    <t>Costco</t>
  </si>
  <si>
    <t>Regular Oil and Filter, used extraction to remove oil, not sure if they got it all? Mahan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</si>
</sst>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4" formatCode="_(&quot;$&quot;* #,##0.00_);_(&quot;$&quot;* \(#,##0.00\);_(&quot;$&quot;* &quot;-&quot;??_);_(@_)"/>
    <numFmt numFmtId="43" formatCode="_(* #,##0.00_);_(* \(#,##0.00\);_(* &quot;-&quot;??_);_(@_)"/>
    <numFmt numFmtId="164" formatCode="mm/dd/yyyy"/>
    <numFmt numFmtId="165" formatCode="m/d/yyyy"/>
    <numFmt numFmtId="166" formatCode="_(* #,##0_);_(* \(#,##0\);_(* &quot;-&quot;??_);_(@_)"/>
    <numFmt numFmtId="167" formatCode="mm/d/yyyy"/>
    <numFmt numFmtId="168" formatCode="_(* #,##0.0_);_(* \(#,##0.0\);_(* &quot;-&quot;?_);_(@_)"/>
  </numFmts>
  <fonts count="15" x14ac:knownFonts="1">
    <font>
      <sz val="10"/>
      <color indexed="8"/>
      <name val="Helvetica Neue"/>
    </font>
    <font>
      <sz val="12"/>
      <color indexed="8"/>
      <name val="Helvetica Neue"/>
      <family val="2"/>
    </font>
    <font>
      <b/>
      <sz val="10"/>
      <color indexed="9"/>
      <name val="Helvetica Neue"/>
      <family val="2"/>
    </font>
    <font>
      <b/>
      <sz val="10"/>
      <color indexed="8"/>
      <name val="Helvetica Neue"/>
      <family val="2"/>
    </font>
    <font>
      <sz val="10"/>
      <color indexed="8"/>
      <name val="Helvetica Neue"/>
      <family val="2"/>
    </font>
    <font>
      <b/>
      <sz val="10"/>
      <color indexed="9"/>
      <name val="Helvetica Neue"/>
      <family val="2"/>
    </font>
    <font>
      <sz val="10"/>
      <color indexed="8"/>
      <name val="Helvetica Neue"/>
      <family val="2"/>
    </font>
    <font>
      <b/>
      <sz val="11"/>
      <color theme="0" tint="-0.14999847407452621"/>
      <name val="Helvetica Neue"/>
      <family val="2"/>
    </font>
    <font>
      <sz val="14"/>
      <color indexed="8"/>
      <name val="Helvetica Neue"/>
      <family val="2"/>
    </font>
    <font>
      <b/>
      <sz val="10"/>
      <color indexed="8"/>
      <name val="Helvetica Neue"/>
      <family val="2"/>
    </font>
    <font>
      <b/>
      <sz val="12"/>
      <color indexed="8"/>
      <name val="Helvetica Neue"/>
      <family val="2"/>
    </font>
    <font>
      <b/>
      <sz val="10"/>
      <color rgb="FF000000"/>
      <name val="Helvetica Neue"/>
      <family val="2"/>
    </font>
    <font>
      <sz val="10"/>
      <color rgb="FF000000"/>
      <name val="Tahoma"/>
      <family val="2"/>
    </font>
    <font>
      <b/>
      <sz val="10"/>
      <color rgb="FF000000"/>
      <name val="Tahoma"/>
      <family val="2"/>
    </font>
    <font>
      <b/>
      <sz val="10"/>
      <color theme="1"/>
      <name val="Helvetica Neue"/>
      <family val="2"/>
    </font>
  </fonts>
  <fills count="15">
    <fill>
      <patternFill patternType="none"/>
    </fill>
    <fill>
      <patternFill patternType="gray125"/>
    </fill>
    <fill>
      <patternFill patternType="solid">
        <fgColor indexed="22"/>
        <bgColor auto="1"/>
      </patternFill>
    </fill>
    <fill>
      <patternFill patternType="solid">
        <fgColor indexed="26"/>
        <bgColor auto="1"/>
      </patternFill>
    </fill>
    <fill>
      <patternFill patternType="solid">
        <fgColor theme="0"/>
        <bgColor indexed="64"/>
      </patternFill>
    </fill>
    <fill>
      <patternFill patternType="solid">
        <fgColor theme="4" tint="-0.249977111117893"/>
        <bgColor indexed="64"/>
      </patternFill>
    </fill>
    <fill>
      <patternFill patternType="solid">
        <fgColor theme="6"/>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2" tint="-0.249977111117893"/>
        <bgColor indexed="64"/>
      </patternFill>
    </fill>
    <fill>
      <patternFill patternType="solid">
        <fgColor theme="7"/>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4" tint="0.79998168889431442"/>
        <bgColor indexed="64"/>
      </patternFill>
    </fill>
  </fills>
  <borders count="25">
    <border>
      <left/>
      <right/>
      <top/>
      <bottom/>
      <diagonal/>
    </border>
    <border>
      <left style="thin">
        <color indexed="11"/>
      </left>
      <right style="thin">
        <color indexed="11"/>
      </right>
      <top style="thin">
        <color indexed="11"/>
      </top>
      <bottom style="thin">
        <color indexed="11"/>
      </bottom>
      <diagonal/>
    </border>
    <border>
      <left style="thin">
        <color indexed="27"/>
      </left>
      <right style="thin">
        <color indexed="27"/>
      </right>
      <top style="thin">
        <color indexed="27"/>
      </top>
      <bottom style="thin">
        <color indexed="15"/>
      </bottom>
      <diagonal/>
    </border>
    <border>
      <left style="thin">
        <color indexed="27"/>
      </left>
      <right style="thin">
        <color indexed="15"/>
      </right>
      <top style="thin">
        <color indexed="15"/>
      </top>
      <bottom style="thin">
        <color indexed="27"/>
      </bottom>
      <diagonal/>
    </border>
    <border>
      <left style="thin">
        <color indexed="15"/>
      </left>
      <right style="thin">
        <color indexed="27"/>
      </right>
      <top style="thin">
        <color indexed="15"/>
      </top>
      <bottom style="thin">
        <color indexed="27"/>
      </bottom>
      <diagonal/>
    </border>
    <border>
      <left style="thin">
        <color indexed="27"/>
      </left>
      <right style="thin">
        <color indexed="27"/>
      </right>
      <top style="thin">
        <color indexed="15"/>
      </top>
      <bottom style="thin">
        <color indexed="27"/>
      </bottom>
      <diagonal/>
    </border>
    <border>
      <left style="thin">
        <color indexed="27"/>
      </left>
      <right style="thin">
        <color indexed="15"/>
      </right>
      <top style="thin">
        <color indexed="27"/>
      </top>
      <bottom style="thin">
        <color indexed="27"/>
      </bottom>
      <diagonal/>
    </border>
    <border>
      <left style="thin">
        <color indexed="15"/>
      </left>
      <right style="thin">
        <color indexed="27"/>
      </right>
      <top style="thin">
        <color indexed="27"/>
      </top>
      <bottom style="thin">
        <color indexed="27"/>
      </bottom>
      <diagonal/>
    </border>
    <border>
      <left style="thin">
        <color indexed="27"/>
      </left>
      <right style="thin">
        <color indexed="27"/>
      </right>
      <top style="thin">
        <color indexed="27"/>
      </top>
      <bottom style="thin">
        <color indexed="27"/>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1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15"/>
      </left>
      <right style="thin">
        <color indexed="27"/>
      </right>
      <top style="thin">
        <color indexed="27"/>
      </top>
      <bottom/>
      <diagonal/>
    </border>
    <border>
      <left style="thin">
        <color indexed="27"/>
      </left>
      <right style="thin">
        <color indexed="27"/>
      </right>
      <top style="thin">
        <color indexed="27"/>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11"/>
      </right>
      <top style="thin">
        <color indexed="11"/>
      </top>
      <bottom style="thin">
        <color indexed="11"/>
      </bottom>
      <diagonal/>
    </border>
    <border>
      <left/>
      <right style="thin">
        <color indexed="11"/>
      </right>
      <top style="thin">
        <color indexed="11"/>
      </top>
      <bottom/>
      <diagonal/>
    </border>
    <border>
      <left style="thin">
        <color indexed="11"/>
      </left>
      <right style="thin">
        <color indexed="11"/>
      </right>
      <top style="thin">
        <color indexed="11"/>
      </top>
      <bottom/>
      <diagonal/>
    </border>
  </borders>
  <cellStyleXfs count="4">
    <xf numFmtId="0" fontId="0" fillId="0" borderId="0" applyNumberFormat="0" applyFill="0" applyBorder="0" applyProtection="0">
      <alignment vertical="top" wrapText="1"/>
    </xf>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cellStyleXfs>
  <cellXfs count="92">
    <xf numFmtId="0" fontId="0" fillId="0" borderId="0" xfId="0">
      <alignment vertical="top" wrapText="1"/>
    </xf>
    <xf numFmtId="0" fontId="0" fillId="0" borderId="0" xfId="0" applyNumberFormat="1">
      <alignment vertical="top" wrapText="1"/>
    </xf>
    <xf numFmtId="49" fontId="3" fillId="3" borderId="2" xfId="0" applyNumberFormat="1" applyFont="1" applyFill="1" applyBorder="1">
      <alignment vertical="top" wrapText="1"/>
    </xf>
    <xf numFmtId="164" fontId="3" fillId="2" borderId="3" xfId="0" applyNumberFormat="1" applyFont="1" applyFill="1" applyBorder="1">
      <alignment vertical="top" wrapText="1"/>
    </xf>
    <xf numFmtId="0" fontId="0" fillId="0" borderId="8" xfId="0" applyBorder="1">
      <alignment vertical="top" wrapText="1"/>
    </xf>
    <xf numFmtId="14" fontId="3" fillId="2" borderId="6" xfId="0" applyNumberFormat="1" applyFont="1" applyFill="1" applyBorder="1">
      <alignment vertical="top" wrapText="1"/>
    </xf>
    <xf numFmtId="166" fontId="3" fillId="3" borderId="2" xfId="0" applyNumberFormat="1" applyFont="1" applyFill="1" applyBorder="1">
      <alignment vertical="top" wrapText="1"/>
    </xf>
    <xf numFmtId="166" fontId="0" fillId="0" borderId="4" xfId="0" applyNumberFormat="1" applyBorder="1">
      <alignment vertical="top" wrapText="1"/>
    </xf>
    <xf numFmtId="166" fontId="0" fillId="0" borderId="7" xfId="0" applyNumberFormat="1" applyBorder="1">
      <alignment vertical="top" wrapText="1"/>
    </xf>
    <xf numFmtId="166" fontId="0" fillId="0" borderId="0" xfId="0" applyNumberFormat="1">
      <alignment vertical="top" wrapText="1"/>
    </xf>
    <xf numFmtId="0" fontId="0" fillId="4" borderId="0" xfId="0" applyFill="1">
      <alignment vertical="top" wrapText="1"/>
    </xf>
    <xf numFmtId="0" fontId="4" fillId="4" borderId="0" xfId="0" applyFont="1" applyFill="1">
      <alignment vertical="top" wrapText="1"/>
    </xf>
    <xf numFmtId="43" fontId="8" fillId="4" borderId="0" xfId="1" applyFont="1" applyFill="1" applyAlignment="1">
      <alignment horizontal="center" vertical="center" wrapText="1"/>
    </xf>
    <xf numFmtId="0" fontId="7" fillId="5" borderId="9" xfId="0" applyFont="1" applyFill="1" applyBorder="1" applyAlignment="1">
      <alignment horizontal="center" vertical="top" wrapText="1"/>
    </xf>
    <xf numFmtId="0" fontId="7" fillId="5" borderId="10" xfId="0" applyFont="1" applyFill="1" applyBorder="1" applyAlignment="1">
      <alignment horizontal="center" vertical="top" wrapText="1"/>
    </xf>
    <xf numFmtId="4" fontId="0" fillId="0" borderId="0" xfId="0" applyNumberFormat="1">
      <alignment vertical="top" wrapText="1"/>
    </xf>
    <xf numFmtId="0" fontId="4" fillId="0" borderId="0" xfId="0" applyNumberFormat="1" applyFont="1" applyAlignment="1">
      <alignment horizontal="right" vertical="top" wrapText="1"/>
    </xf>
    <xf numFmtId="44" fontId="0" fillId="4" borderId="0" xfId="2" applyFont="1" applyFill="1" applyAlignment="1">
      <alignment vertical="top" wrapText="1"/>
    </xf>
    <xf numFmtId="41" fontId="0" fillId="4" borderId="0" xfId="1" applyNumberFormat="1" applyFont="1" applyFill="1" applyAlignment="1">
      <alignment vertical="top" wrapText="1"/>
    </xf>
    <xf numFmtId="44" fontId="0" fillId="7" borderId="0" xfId="0" applyNumberFormat="1" applyFill="1">
      <alignment vertical="top" wrapText="1"/>
    </xf>
    <xf numFmtId="44" fontId="0" fillId="8" borderId="0" xfId="2" applyFont="1" applyFill="1" applyAlignment="1">
      <alignment vertical="top" wrapText="1"/>
    </xf>
    <xf numFmtId="44" fontId="9" fillId="6" borderId="0" xfId="0" applyNumberFormat="1" applyFont="1" applyFill="1">
      <alignment vertical="top" wrapText="1"/>
    </xf>
    <xf numFmtId="0" fontId="9" fillId="4" borderId="0" xfId="0" applyFont="1" applyFill="1" applyAlignment="1">
      <alignment horizontal="right" vertical="top" wrapText="1"/>
    </xf>
    <xf numFmtId="44" fontId="9" fillId="4" borderId="0" xfId="2" applyFont="1" applyFill="1" applyAlignment="1">
      <alignment horizontal="right" vertical="top" wrapText="1"/>
    </xf>
    <xf numFmtId="0" fontId="10" fillId="4" borderId="0" xfId="0" applyFont="1" applyFill="1">
      <alignment vertical="top" wrapText="1"/>
    </xf>
    <xf numFmtId="0" fontId="7" fillId="5" borderId="11" xfId="0" applyFont="1" applyFill="1" applyBorder="1" applyAlignment="1">
      <alignment horizontal="right" vertical="top" wrapText="1"/>
    </xf>
    <xf numFmtId="0" fontId="4" fillId="4" borderId="0" xfId="0" applyFont="1" applyFill="1" applyBorder="1">
      <alignment vertical="top" wrapText="1"/>
    </xf>
    <xf numFmtId="41" fontId="0" fillId="4" borderId="0" xfId="1" applyNumberFormat="1" applyFont="1" applyFill="1" applyBorder="1" applyAlignment="1">
      <alignment vertical="top" wrapText="1"/>
    </xf>
    <xf numFmtId="14" fontId="0" fillId="4" borderId="0" xfId="1" applyNumberFormat="1" applyFont="1" applyFill="1" applyBorder="1" applyAlignment="1">
      <alignment vertical="top" wrapText="1"/>
    </xf>
    <xf numFmtId="44" fontId="0" fillId="4" borderId="0" xfId="2" applyFont="1" applyFill="1" applyBorder="1" applyAlignment="1">
      <alignment vertical="top" wrapText="1"/>
    </xf>
    <xf numFmtId="0" fontId="0" fillId="4" borderId="0" xfId="0" applyFill="1" applyBorder="1">
      <alignment vertical="top" wrapText="1"/>
    </xf>
    <xf numFmtId="49" fontId="4" fillId="0" borderId="5" xfId="0" applyNumberFormat="1" applyFont="1" applyBorder="1">
      <alignment vertical="top" wrapText="1"/>
    </xf>
    <xf numFmtId="0" fontId="4" fillId="0" borderId="8" xfId="0" applyFont="1" applyBorder="1">
      <alignment vertical="top" wrapText="1"/>
    </xf>
    <xf numFmtId="0" fontId="7" fillId="5" borderId="11" xfId="0" applyFont="1" applyFill="1" applyBorder="1" applyAlignment="1">
      <alignment horizontal="center" vertical="top" wrapText="1"/>
    </xf>
    <xf numFmtId="0" fontId="9" fillId="0" borderId="0" xfId="0" applyFont="1">
      <alignment vertical="top" wrapText="1"/>
    </xf>
    <xf numFmtId="49" fontId="0" fillId="0" borderId="0" xfId="0" applyNumberFormat="1">
      <alignment vertical="top" wrapText="1"/>
    </xf>
    <xf numFmtId="164" fontId="0" fillId="0" borderId="0" xfId="0" applyNumberFormat="1">
      <alignment vertical="top" wrapText="1"/>
    </xf>
    <xf numFmtId="165" fontId="0" fillId="0" borderId="0" xfId="0" applyNumberFormat="1">
      <alignment vertical="top" wrapText="1"/>
    </xf>
    <xf numFmtId="14" fontId="0" fillId="0" borderId="0" xfId="0" applyNumberFormat="1">
      <alignment vertical="top" wrapText="1"/>
    </xf>
    <xf numFmtId="41" fontId="0" fillId="0" borderId="0" xfId="1" applyNumberFormat="1" applyFont="1" applyAlignment="1">
      <alignment vertical="top" wrapText="1"/>
    </xf>
    <xf numFmtId="43" fontId="0" fillId="0" borderId="0" xfId="1" applyFont="1" applyAlignment="1">
      <alignment vertical="top" wrapText="1"/>
    </xf>
    <xf numFmtId="0" fontId="0" fillId="9" borderId="0" xfId="0" applyNumberFormat="1" applyFill="1">
      <alignment vertical="top" wrapText="1"/>
    </xf>
    <xf numFmtId="49" fontId="0" fillId="9" borderId="0" xfId="0" applyNumberFormat="1" applyFill="1">
      <alignment vertical="top" wrapText="1"/>
    </xf>
    <xf numFmtId="0" fontId="4" fillId="4" borderId="0" xfId="0" applyFont="1" applyFill="1" applyAlignment="1">
      <alignment horizontal="center" vertical="top" wrapText="1"/>
    </xf>
    <xf numFmtId="0" fontId="0" fillId="4" borderId="0" xfId="0" applyFill="1" applyAlignment="1">
      <alignment horizontal="center" vertical="top" wrapText="1"/>
    </xf>
    <xf numFmtId="0" fontId="0" fillId="4" borderId="0" xfId="0" applyFill="1" applyBorder="1" applyAlignment="1">
      <alignment horizontal="center" vertical="top" wrapText="1"/>
    </xf>
    <xf numFmtId="41" fontId="0" fillId="4" borderId="0" xfId="1" applyNumberFormat="1" applyFont="1" applyFill="1" applyAlignment="1">
      <alignment horizontal="center" vertical="top" wrapText="1"/>
    </xf>
    <xf numFmtId="43" fontId="8" fillId="4" borderId="13" xfId="1" applyFont="1" applyFill="1" applyBorder="1" applyAlignment="1">
      <alignment horizontal="center" vertical="center" wrapText="1"/>
    </xf>
    <xf numFmtId="43" fontId="8" fillId="10" borderId="14" xfId="1" applyFont="1" applyFill="1" applyBorder="1" applyAlignment="1">
      <alignment horizontal="center" vertical="center" wrapText="1"/>
    </xf>
    <xf numFmtId="43" fontId="8" fillId="11" borderId="14" xfId="1" applyFont="1" applyFill="1" applyBorder="1" applyAlignment="1">
      <alignment horizontal="center" vertical="center" wrapText="1"/>
    </xf>
    <xf numFmtId="44" fontId="8" fillId="4" borderId="15" xfId="2" applyFont="1" applyFill="1" applyBorder="1" applyAlignment="1">
      <alignment horizontal="center" vertical="center" wrapText="1"/>
    </xf>
    <xf numFmtId="14" fontId="3" fillId="2" borderId="0" xfId="0" applyNumberFormat="1" applyFont="1" applyFill="1" applyBorder="1">
      <alignment vertical="top" wrapText="1"/>
    </xf>
    <xf numFmtId="166" fontId="0" fillId="0" borderId="17" xfId="0" applyNumberFormat="1" applyBorder="1">
      <alignment vertical="top" wrapText="1"/>
    </xf>
    <xf numFmtId="0" fontId="0" fillId="0" borderId="18" xfId="0" applyBorder="1">
      <alignment vertical="top" wrapText="1"/>
    </xf>
    <xf numFmtId="166" fontId="0" fillId="0" borderId="16" xfId="0" applyNumberFormat="1" applyBorder="1">
      <alignment vertical="top" wrapText="1"/>
    </xf>
    <xf numFmtId="0" fontId="0" fillId="0" borderId="16" xfId="0" applyNumberFormat="1" applyBorder="1">
      <alignment vertical="top" wrapText="1"/>
    </xf>
    <xf numFmtId="41" fontId="0" fillId="4" borderId="0" xfId="0" applyNumberFormat="1" applyFill="1" applyBorder="1" applyAlignment="1">
      <alignment horizontal="center" vertical="top" wrapText="1"/>
    </xf>
    <xf numFmtId="41" fontId="0" fillId="4" borderId="0" xfId="0" applyNumberFormat="1" applyFill="1">
      <alignment vertical="top" wrapText="1"/>
    </xf>
    <xf numFmtId="167" fontId="0" fillId="4" borderId="0" xfId="1" applyNumberFormat="1" applyFont="1" applyFill="1" applyAlignment="1">
      <alignment horizontal="left" vertical="top" wrapText="1"/>
    </xf>
    <xf numFmtId="168" fontId="0" fillId="4" borderId="0" xfId="0" applyNumberFormat="1" applyFill="1">
      <alignment vertical="top" wrapText="1"/>
    </xf>
    <xf numFmtId="44" fontId="0" fillId="4" borderId="19" xfId="2" applyFont="1" applyFill="1" applyBorder="1" applyAlignment="1">
      <alignment vertical="top" wrapText="1"/>
    </xf>
    <xf numFmtId="9" fontId="0" fillId="4" borderId="20" xfId="3" applyFont="1" applyFill="1" applyBorder="1" applyAlignment="1">
      <alignment vertical="top" wrapText="1"/>
    </xf>
    <xf numFmtId="44" fontId="0" fillId="4" borderId="20" xfId="2" applyFont="1" applyFill="1" applyBorder="1" applyAlignment="1">
      <alignment vertical="top" wrapText="1"/>
    </xf>
    <xf numFmtId="0" fontId="0" fillId="4" borderId="21" xfId="0" applyFill="1" applyBorder="1">
      <alignment vertical="top" wrapText="1"/>
    </xf>
    <xf numFmtId="0" fontId="0" fillId="14" borderId="13" xfId="0" applyFill="1" applyBorder="1">
      <alignment vertical="top" wrapText="1"/>
    </xf>
    <xf numFmtId="0" fontId="0" fillId="14" borderId="14" xfId="0" applyFill="1" applyBorder="1">
      <alignment vertical="top" wrapText="1"/>
    </xf>
    <xf numFmtId="0" fontId="4" fillId="14" borderId="14" xfId="0" applyFont="1" applyFill="1" applyBorder="1">
      <alignment vertical="top" wrapText="1"/>
    </xf>
    <xf numFmtId="0" fontId="4" fillId="14" borderId="15" xfId="0" applyFont="1" applyFill="1" applyBorder="1">
      <alignment vertical="top" wrapText="1"/>
    </xf>
    <xf numFmtId="43" fontId="0" fillId="4" borderId="0" xfId="0" applyNumberFormat="1" applyFill="1">
      <alignment vertical="top" wrapText="1"/>
    </xf>
    <xf numFmtId="44" fontId="0" fillId="4" borderId="0" xfId="0" applyNumberFormat="1" applyFill="1">
      <alignment vertical="top" wrapText="1"/>
    </xf>
    <xf numFmtId="4" fontId="0" fillId="0" borderId="1" xfId="0" applyNumberFormat="1" applyFill="1" applyBorder="1">
      <alignment vertical="top" wrapText="1"/>
    </xf>
    <xf numFmtId="4" fontId="4" fillId="0" borderId="1" xfId="0" applyNumberFormat="1" applyFont="1" applyFill="1" applyBorder="1">
      <alignment vertical="top" wrapText="1"/>
    </xf>
    <xf numFmtId="49" fontId="2" fillId="0" borderId="12" xfId="0" applyNumberFormat="1" applyFont="1" applyFill="1" applyBorder="1">
      <alignment vertical="top" wrapText="1"/>
    </xf>
    <xf numFmtId="49" fontId="5" fillId="0" borderId="12" xfId="0" applyNumberFormat="1" applyFont="1" applyFill="1" applyBorder="1">
      <alignment vertical="top" wrapText="1"/>
    </xf>
    <xf numFmtId="4" fontId="0" fillId="0" borderId="24" xfId="0" applyNumberFormat="1" applyFill="1" applyBorder="1">
      <alignment vertical="top" wrapText="1"/>
    </xf>
    <xf numFmtId="164" fontId="14" fillId="0" borderId="22" xfId="0" applyNumberFormat="1" applyFont="1" applyFill="1" applyBorder="1">
      <alignment vertical="top" wrapText="1"/>
    </xf>
    <xf numFmtId="164" fontId="14" fillId="0" borderId="23" xfId="0" applyNumberFormat="1" applyFont="1" applyFill="1" applyBorder="1">
      <alignment vertical="top" wrapText="1"/>
    </xf>
    <xf numFmtId="49" fontId="2" fillId="0" borderId="12" xfId="0" applyNumberFormat="1" applyFont="1" applyFill="1" applyBorder="1" applyAlignment="1">
      <alignment horizontal="right" vertical="top" wrapText="1"/>
    </xf>
    <xf numFmtId="49" fontId="0" fillId="0" borderId="1" xfId="0" applyNumberFormat="1" applyFill="1" applyBorder="1" applyAlignment="1">
      <alignment horizontal="right" vertical="top" wrapText="1"/>
    </xf>
    <xf numFmtId="49" fontId="0" fillId="0" borderId="24" xfId="0" applyNumberFormat="1" applyFill="1" applyBorder="1" applyAlignment="1">
      <alignment horizontal="right" vertical="top" wrapText="1"/>
    </xf>
    <xf numFmtId="0" fontId="0" fillId="0" borderId="0" xfId="0" applyNumberFormat="1" applyAlignment="1">
      <alignment horizontal="right" vertical="top" wrapText="1"/>
    </xf>
    <xf numFmtId="0" fontId="4" fillId="0" borderId="0" xfId="0" applyFont="1">
      <alignment vertical="top" wrapText="1"/>
    </xf>
    <xf numFmtId="49" fontId="4" fillId="0" borderId="0" xfId="0" applyNumberFormat="1" applyFont="1">
      <alignment vertical="top" wrapText="1"/>
    </xf>
    <xf numFmtId="0" fontId="0" fillId="4" borderId="0" xfId="0" applyFill="1" applyAlignment="1">
      <alignment horizontal="left" vertical="top" wrapText="1"/>
    </xf>
    <xf numFmtId="49" fontId="4" fillId="0" borderId="1" xfId="0" applyNumberFormat="1" applyFont="1" applyFill="1" applyBorder="1" applyAlignment="1">
      <alignment horizontal="right" vertical="top" wrapText="1"/>
    </xf>
    <xf numFmtId="44" fontId="0" fillId="4" borderId="0" xfId="2" applyFont="1" applyFill="1" applyAlignment="1">
      <alignment horizontal="left" vertical="top" wrapText="1"/>
    </xf>
    <xf numFmtId="44" fontId="0" fillId="4" borderId="0" xfId="2" applyFont="1" applyFill="1" applyBorder="1" applyAlignment="1">
      <alignment horizontal="left" vertical="top" wrapText="1"/>
    </xf>
    <xf numFmtId="0" fontId="1" fillId="0" borderId="12" xfId="0" applyFont="1" applyBorder="1" applyAlignment="1">
      <alignment horizontal="center" vertical="center"/>
    </xf>
    <xf numFmtId="0" fontId="1" fillId="0" borderId="0" xfId="0" applyFont="1" applyAlignment="1">
      <alignment horizontal="center" vertical="center"/>
    </xf>
    <xf numFmtId="44" fontId="9" fillId="4" borderId="0" xfId="2" applyFont="1" applyFill="1" applyAlignment="1">
      <alignment horizontal="right" vertical="top" wrapText="1"/>
    </xf>
    <xf numFmtId="0" fontId="10" fillId="12" borderId="16" xfId="0" applyFont="1" applyFill="1" applyBorder="1" applyAlignment="1">
      <alignment horizontal="center" vertical="top" wrapText="1"/>
    </xf>
    <xf numFmtId="0" fontId="10" fillId="13" borderId="16" xfId="0" applyFont="1" applyFill="1" applyBorder="1" applyAlignment="1">
      <alignment horizontal="center" vertical="top" wrapText="1"/>
    </xf>
  </cellXfs>
  <cellStyles count="4">
    <cellStyle name="Comma" xfId="1" builtinId="3"/>
    <cellStyle name="Currency" xfId="2" builtinId="4"/>
    <cellStyle name="Normal" xfId="0" builtinId="0"/>
    <cellStyle name="Percent" xfId="3" builtinId="5"/>
  </cellStyles>
  <dxfs count="17">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indexed="8"/>
        <name val="Helvetica Neue"/>
        <scheme val="none"/>
      </font>
      <numFmt numFmtId="33" formatCode="_(* #,##0_);_(* \(#,##0\);_(* &quot;-&quot;_);_(@_)"/>
      <alignment horizontal="general" vertical="top" textRotation="0" wrapText="1" indent="0" justifyLastLine="0" shrinkToFit="0" readingOrder="0"/>
    </dxf>
    <dxf>
      <font>
        <b val="0"/>
        <i val="0"/>
        <strike val="0"/>
        <condense val="0"/>
        <extend val="0"/>
        <outline val="0"/>
        <shadow val="0"/>
        <u val="none"/>
        <vertAlign val="baseline"/>
        <sz val="10"/>
        <color indexed="8"/>
        <name val="Helvetica Neue"/>
        <scheme val="none"/>
      </font>
      <numFmt numFmtId="19" formatCode="m/d/yy"/>
      <alignment horizontal="general" vertical="top" textRotation="0" wrapText="1" indent="0" justifyLastLine="0" shrinkToFit="0" readingOrder="0"/>
    </dxf>
    <dxf>
      <font>
        <b val="0"/>
        <i val="0"/>
        <strike val="0"/>
        <condense val="0"/>
        <extend val="0"/>
        <outline val="0"/>
        <shadow val="0"/>
        <u val="none"/>
        <vertAlign val="baseline"/>
        <sz val="10"/>
        <color indexed="8"/>
        <name val="Helvetica Neue"/>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indexed="8"/>
        <name val="Helvetica Neue"/>
        <scheme val="none"/>
      </font>
      <numFmt numFmtId="4" formatCode="#,##0.00"/>
      <fill>
        <patternFill patternType="none">
          <fgColor indexed="64"/>
          <bgColor indexed="65"/>
        </patternFill>
      </fill>
      <alignment horizontal="general" vertical="top" textRotation="0" wrapText="1" indent="0" justifyLastLine="0" shrinkToFit="0" readingOrder="0"/>
      <border diagonalUp="0" diagonalDown="0">
        <left style="thin">
          <color indexed="11"/>
        </left>
        <right style="thin">
          <color indexed="11"/>
        </right>
        <top style="thin">
          <color indexed="11"/>
        </top>
        <bottom style="thin">
          <color indexed="11"/>
        </bottom>
        <vertical/>
        <horizontal/>
      </border>
    </dxf>
    <dxf>
      <font>
        <b val="0"/>
        <i val="0"/>
        <strike val="0"/>
        <condense val="0"/>
        <extend val="0"/>
        <outline val="0"/>
        <shadow val="0"/>
        <u val="none"/>
        <vertAlign val="baseline"/>
        <sz val="10"/>
        <color indexed="8"/>
        <name val="Helvetica Neue"/>
        <scheme val="none"/>
      </font>
      <numFmt numFmtId="4" formatCode="#,##0.00"/>
      <fill>
        <patternFill patternType="none">
          <fgColor indexed="64"/>
          <bgColor indexed="65"/>
        </patternFill>
      </fill>
      <alignment horizontal="general" vertical="top" textRotation="0" wrapText="1" indent="0" justifyLastLine="0" shrinkToFit="0" readingOrder="0"/>
      <border diagonalUp="0" diagonalDown="0">
        <left style="thin">
          <color indexed="11"/>
        </left>
        <right style="thin">
          <color indexed="11"/>
        </right>
        <top style="thin">
          <color indexed="11"/>
        </top>
        <bottom style="thin">
          <color indexed="11"/>
        </bottom>
        <vertical/>
        <horizontal/>
      </border>
    </dxf>
    <dxf>
      <font>
        <b val="0"/>
        <i val="0"/>
        <strike val="0"/>
        <condense val="0"/>
        <extend val="0"/>
        <outline val="0"/>
        <shadow val="0"/>
        <u val="none"/>
        <vertAlign val="baseline"/>
        <sz val="10"/>
        <color indexed="8"/>
        <name val="Helvetica Neue"/>
        <scheme val="none"/>
      </font>
      <numFmt numFmtId="4" formatCode="#,##0.00"/>
      <fill>
        <patternFill patternType="none">
          <fgColor indexed="64"/>
          <bgColor indexed="65"/>
        </patternFill>
      </fill>
      <alignment horizontal="general" vertical="top" textRotation="0" wrapText="1" indent="0" justifyLastLine="0" shrinkToFit="0" readingOrder="0"/>
      <border diagonalUp="0" diagonalDown="0">
        <left style="thin">
          <color indexed="11"/>
        </left>
        <right style="thin">
          <color indexed="11"/>
        </right>
        <top style="thin">
          <color indexed="11"/>
        </top>
        <bottom style="thin">
          <color indexed="11"/>
        </bottom>
        <vertical/>
        <horizontal/>
      </border>
    </dxf>
    <dxf>
      <font>
        <b val="0"/>
        <i val="0"/>
        <strike val="0"/>
        <condense val="0"/>
        <extend val="0"/>
        <outline val="0"/>
        <shadow val="0"/>
        <u val="none"/>
        <vertAlign val="baseline"/>
        <sz val="10"/>
        <color indexed="8"/>
        <name val="Helvetica Neue"/>
        <scheme val="none"/>
      </font>
      <numFmt numFmtId="4" formatCode="#,##0.00"/>
      <fill>
        <patternFill patternType="none">
          <fgColor indexed="64"/>
          <bgColor indexed="65"/>
        </patternFill>
      </fill>
      <alignment horizontal="general" vertical="top" textRotation="0" wrapText="1" indent="0" justifyLastLine="0" shrinkToFit="0" readingOrder="0"/>
      <border diagonalUp="0" diagonalDown="0">
        <left style="thin">
          <color indexed="11"/>
        </left>
        <right style="thin">
          <color indexed="11"/>
        </right>
        <top style="thin">
          <color indexed="11"/>
        </top>
        <bottom style="thin">
          <color indexed="11"/>
        </bottom>
        <vertical/>
        <horizontal/>
      </border>
    </dxf>
    <dxf>
      <font>
        <b val="0"/>
        <i val="0"/>
        <strike val="0"/>
        <condense val="0"/>
        <extend val="0"/>
        <outline val="0"/>
        <shadow val="0"/>
        <u val="none"/>
        <vertAlign val="baseline"/>
        <sz val="10"/>
        <color indexed="8"/>
        <name val="Helvetica Neue"/>
        <scheme val="none"/>
      </font>
      <numFmt numFmtId="30" formatCode="@"/>
      <fill>
        <patternFill patternType="none">
          <fgColor indexed="64"/>
          <bgColor indexed="65"/>
        </patternFill>
      </fill>
      <alignment horizontal="right" vertical="top" textRotation="0" wrapText="1" indent="0" justifyLastLine="0" shrinkToFit="0" readingOrder="0"/>
      <border diagonalUp="0" diagonalDown="0" outline="0">
        <left/>
        <right style="thin">
          <color indexed="11"/>
        </right>
        <top style="thin">
          <color indexed="11"/>
        </top>
        <bottom style="thin">
          <color indexed="11"/>
        </bottom>
      </border>
    </dxf>
    <dxf>
      <font>
        <b/>
        <i val="0"/>
        <strike val="0"/>
        <condense val="0"/>
        <extend val="0"/>
        <outline val="0"/>
        <shadow val="0"/>
        <u val="none"/>
        <vertAlign val="baseline"/>
        <sz val="10"/>
        <color theme="1"/>
        <name val="Helvetica Neue"/>
        <family val="2"/>
        <scheme val="none"/>
      </font>
      <numFmt numFmtId="164" formatCode="mm/dd/yyyy"/>
      <fill>
        <patternFill patternType="none">
          <fgColor indexed="64"/>
          <bgColor indexed="65"/>
        </patternFill>
      </fill>
      <alignment horizontal="general" vertical="top" textRotation="0" wrapText="1" indent="0" justifyLastLine="0" shrinkToFit="0" readingOrder="0"/>
      <border diagonalUp="0" diagonalDown="0" outline="0">
        <left/>
        <right style="thin">
          <color indexed="11"/>
        </right>
        <top style="thin">
          <color indexed="11"/>
        </top>
        <bottom style="thin">
          <color indexed="11"/>
        </bottom>
      </border>
    </dxf>
    <dxf>
      <border outline="0">
        <top style="thin">
          <color indexed="11"/>
        </top>
      </border>
    </dxf>
    <dxf>
      <border outline="0">
        <left style="thin">
          <color indexed="11"/>
        </left>
        <top style="thin">
          <color indexed="11"/>
        </top>
        <bottom style="thin">
          <color indexed="11"/>
        </bottom>
      </border>
    </dxf>
    <dxf>
      <font>
        <b val="0"/>
        <i val="0"/>
        <strike val="0"/>
        <condense val="0"/>
        <extend val="0"/>
        <outline val="0"/>
        <shadow val="0"/>
        <u val="none"/>
        <vertAlign val="baseline"/>
        <sz val="10"/>
        <color indexed="8"/>
        <name val="Helvetica Neue"/>
        <scheme val="none"/>
      </font>
      <fill>
        <patternFill patternType="none">
          <fgColor indexed="64"/>
          <bgColor indexed="65"/>
        </patternFill>
      </fill>
      <alignment horizontal="general" vertical="top" textRotation="0" wrapText="1" indent="0" justifyLastLine="0" shrinkToFit="0" readingOrder="0"/>
    </dxf>
    <dxf>
      <border outline="0">
        <bottom style="thin">
          <color indexed="11"/>
        </bottom>
      </border>
    </dxf>
    <dxf>
      <font>
        <b/>
        <i val="0"/>
        <strike val="0"/>
        <condense val="0"/>
        <extend val="0"/>
        <outline val="0"/>
        <shadow val="0"/>
        <u val="none"/>
        <vertAlign val="baseline"/>
        <sz val="10"/>
        <color indexed="9"/>
        <name val="Helvetica Neue"/>
        <family val="2"/>
        <scheme val="none"/>
      </font>
      <numFmt numFmtId="30" formatCode="@"/>
      <fill>
        <patternFill patternType="none">
          <fgColor indexed="64"/>
          <bgColor indexed="65"/>
        </patternFill>
      </fill>
      <alignment horizontal="general" vertical="top" textRotation="0" wrapText="1" indent="0" justifyLastLine="0" shrinkToFit="0" readingOrder="0"/>
    </dxf>
  </dxfs>
  <tableStyles count="0"/>
  <colors>
    <indexedColors>
      <rgbColor rgb="FF000000"/>
      <rgbColor rgb="FFFFFFFF"/>
      <rgbColor rgb="FFFF0000"/>
      <rgbColor rgb="FF00FF00"/>
      <rgbColor rgb="FF0000FF"/>
      <rgbColor rgb="FFFFFF00"/>
      <rgbColor rgb="FFFF00FF"/>
      <rgbColor rgb="FF00FFFF"/>
      <rgbColor rgb="FF000000"/>
      <rgbColor rgb="FFFEFFFE"/>
      <rgbColor rgb="FF007100"/>
      <rgbColor rgb="FFBFBFBF"/>
      <rgbColor rgb="FF919291"/>
      <rgbColor rgb="FFEFEEEE"/>
      <rgbColor rgb="FF004C7F"/>
      <rgbColor rgb="FF3F3F3F"/>
      <rgbColor rgb="FFECECEC"/>
      <rgbColor rgb="FF454545"/>
      <rgbColor rgb="FFAAAAAA"/>
      <rgbColor rgb="FF313131"/>
      <rgbColor rgb="FFE3E3E3"/>
      <rgbColor rgb="FFD2D5D5"/>
      <rgbColor rgb="FFDBDBDB"/>
      <rgbColor rgb="FFADADAD"/>
      <rgbColor rgb="FFED220B"/>
      <rgbColor rgb="FFF4F9F7"/>
      <rgbColor rgb="FFBDC0BF"/>
      <rgbColor rgb="FFA5A5A5"/>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2692400</xdr:colOff>
      <xdr:row>2</xdr:row>
      <xdr:rowOff>3628899</xdr:rowOff>
    </xdr:from>
    <xdr:to>
      <xdr:col>2</xdr:col>
      <xdr:colOff>3062770</xdr:colOff>
      <xdr:row>2</xdr:row>
      <xdr:rowOff>3878987</xdr:rowOff>
    </xdr:to>
    <xdr:sp macro="" textlink="">
      <xdr:nvSpPr>
        <xdr:cNvPr id="4" name="Shape 4">
          <a:extLst>
            <a:ext uri="{FF2B5EF4-FFF2-40B4-BE49-F238E27FC236}">
              <a16:creationId xmlns:a16="http://schemas.microsoft.com/office/drawing/2014/main" id="{00000000-0008-0000-0300-000004000000}"/>
            </a:ext>
          </a:extLst>
        </xdr:cNvPr>
        <xdr:cNvSpPr txBox="1"/>
      </xdr:nvSpPr>
      <xdr:spPr>
        <a:xfrm>
          <a:off x="4533900" y="3886200"/>
          <a:ext cx="370371" cy="250089"/>
        </a:xfrm>
        <a:prstGeom prst="rect">
          <a:avLst/>
        </a:prstGeom>
        <a:noFill/>
        <a:ln w="12700" cap="flat">
          <a:noFill/>
          <a:miter lim="400000"/>
        </a:ln>
        <a:effectLst/>
      </xdr:spPr>
      <xdr:txBody>
        <a:bodyPr/>
        <a:lstStyle/>
        <a:p>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37EEA3-3A78-1B41-8650-D017249EECC3}" name="Table1" displayName="Table1" ref="A2:F40" totalsRowShown="0" headerRowDxfId="16" dataDxfId="14" headerRowBorderDxfId="15" tableBorderDxfId="13" totalsRowBorderDxfId="12">
  <autoFilter ref="A2:F40" xr:uid="{0337EEA3-3A78-1B41-8650-D017249EECC3}"/>
  <tableColumns count="6">
    <tableColumn id="1" xr3:uid="{25ACBFF9-8BE0-0A4C-90D2-97C8D1730C46}" name="Date" dataDxfId="11"/>
    <tableColumn id="2" xr3:uid="{A2C1C2E0-558D-D24C-8D72-56255C042079}" name="Facility" dataDxfId="10"/>
    <tableColumn id="3" xr3:uid="{5700A196-EED1-4B4B-8F78-9A631BAFC785}" name="Mileage" dataDxfId="9"/>
    <tableColumn id="4" xr3:uid="{85BE25AC-3995-FF45-A846-EE3BFBD3E126}" name="Interval - Miles" dataDxfId="8">
      <calculatedColumnFormula>IF(ISBLANK(C3),0,C3-C2)</calculatedColumnFormula>
    </tableColumn>
    <tableColumn id="5" xr3:uid="{3DFFB1CC-D1EF-C046-BA2A-EB4E932B5428}" name="Interval - Months" dataDxfId="7">
      <calculatedColumnFormula>(A3-A2)/30</calculatedColumnFormula>
    </tableColumn>
    <tableColumn id="6" xr3:uid="{297FC51D-F653-2844-853A-69903C78264D}" name="Comment" dataDxfId="6"/>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30C0E7-BB4C-1049-A66D-9674E5BA1568}" name="Table2" displayName="Table2" ref="A2:E36" totalsRowShown="0" headerRowDxfId="5">
  <autoFilter ref="A2:E36" xr:uid="{2E60AEDB-001F-E241-8CA9-D41A04D29898}"/>
  <sortState xmlns:xlrd2="http://schemas.microsoft.com/office/spreadsheetml/2017/richdata2" ref="A3:E36">
    <sortCondition ref="A2:A36"/>
  </sortState>
  <tableColumns count="5">
    <tableColumn id="1" xr3:uid="{227BF6B3-E755-7745-92DE-1FFA8CF216AC}" name="Date" dataDxfId="4"/>
    <tableColumn id="2" xr3:uid="{0B0107D5-45C6-1E4C-B2B3-5C25244AF9CC}" name="Facility"/>
    <tableColumn id="3" xr3:uid="{91A4561A-536C-8F4B-A06A-B256923473A4}" name="Mileage" dataDxfId="3" dataCellStyle="Comma"/>
    <tableColumn id="4" xr3:uid="{294F8262-AD7F-6D42-BAB2-FD9EE35F700B}" name="Service"/>
    <tableColumn id="5" xr3:uid="{F0AF15B6-810A-BD42-826C-B3BB63C2C63E}" name="Comments"/>
  </tableColumns>
  <tableStyleInfo name="TableStyleMedium16" showFirstColumn="0" showLastColumn="0" showRowStripes="1" showColumnStripes="0"/>
</table>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DAE89-FEB0-4E42-81E0-A4AC8BFB55BF}">
  <dimension ref="A2:B7"/>
  <sheetViews>
    <sheetView workbookViewId="0">
      <selection activeCell="A8" sqref="A8"/>
    </sheetView>
  </sheetViews>
  <sheetFormatPr baseColWidth="10" defaultRowHeight="13" x14ac:dyDescent="0.15"/>
  <cols>
    <col min="1" max="1" width="10.83203125" style="10"/>
    <col min="2" max="2" width="18.83203125" style="10" bestFit="1" customWidth="1"/>
    <col min="3" max="16384" width="10.83203125" style="10"/>
  </cols>
  <sheetData>
    <row r="2" spans="1:2" ht="14" x14ac:dyDescent="0.15">
      <c r="A2" s="11" t="s">
        <v>151</v>
      </c>
      <c r="B2" s="83">
        <v>2013</v>
      </c>
    </row>
    <row r="3" spans="1:2" ht="14" x14ac:dyDescent="0.15">
      <c r="A3" s="11" t="s">
        <v>141</v>
      </c>
      <c r="B3" s="11" t="s">
        <v>144</v>
      </c>
    </row>
    <row r="4" spans="1:2" ht="14" x14ac:dyDescent="0.15">
      <c r="A4" s="11" t="s">
        <v>142</v>
      </c>
      <c r="B4" s="11" t="s">
        <v>145</v>
      </c>
    </row>
    <row r="5" spans="1:2" ht="14" x14ac:dyDescent="0.15">
      <c r="A5" s="11" t="s">
        <v>147</v>
      </c>
      <c r="B5" s="11" t="s">
        <v>148</v>
      </c>
    </row>
    <row r="6" spans="1:2" ht="14" x14ac:dyDescent="0.15">
      <c r="A6" s="11" t="s">
        <v>143</v>
      </c>
      <c r="B6" s="11" t="s">
        <v>146</v>
      </c>
    </row>
    <row r="7" spans="1:2" ht="14" x14ac:dyDescent="0.15">
      <c r="A7" s="11" t="s">
        <v>149</v>
      </c>
      <c r="B7" s="11" t="s">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T41"/>
  <sheetViews>
    <sheetView showGridLines="0" workbookViewId="0">
      <pane xSplit="1" ySplit="2" topLeftCell="B3" activePane="bottomRight" state="frozen"/>
      <selection pane="topRight"/>
      <selection pane="bottomLeft"/>
      <selection pane="bottomRight" activeCell="F37" sqref="F37"/>
    </sheetView>
  </sheetViews>
  <sheetFormatPr baseColWidth="10" defaultColWidth="16.33203125" defaultRowHeight="13" x14ac:dyDescent="0.15"/>
  <cols>
    <col min="1" max="1" width="16.33203125" style="1" customWidth="1"/>
    <col min="2" max="2" width="31.83203125" style="80" customWidth="1"/>
    <col min="3" max="4" width="16.33203125" style="1" customWidth="1"/>
    <col min="5" max="5" width="17.33203125" style="1" customWidth="1"/>
    <col min="6" max="6" width="46" style="1" customWidth="1"/>
    <col min="7" max="7" width="4.33203125" style="1" customWidth="1"/>
    <col min="8" max="8" width="6.6640625" style="1" bestFit="1" customWidth="1"/>
    <col min="9" max="254" width="16.33203125" style="1" customWidth="1"/>
  </cols>
  <sheetData>
    <row r="1" spans="1:11" ht="16" x14ac:dyDescent="0.15">
      <c r="A1" s="87" t="s">
        <v>0</v>
      </c>
      <c r="B1" s="87"/>
      <c r="C1" s="87"/>
      <c r="D1" s="87"/>
      <c r="E1" s="87"/>
      <c r="F1" s="87"/>
      <c r="H1" s="1" t="s">
        <v>84</v>
      </c>
      <c r="I1" s="40">
        <v>131543</v>
      </c>
      <c r="K1" s="41" t="s">
        <v>102</v>
      </c>
    </row>
    <row r="2" spans="1:11" ht="14" x14ac:dyDescent="0.15">
      <c r="A2" s="72" t="s">
        <v>1</v>
      </c>
      <c r="B2" s="77" t="s">
        <v>2</v>
      </c>
      <c r="C2" s="72" t="s">
        <v>3</v>
      </c>
      <c r="D2" s="72" t="s">
        <v>138</v>
      </c>
      <c r="E2" s="72" t="s">
        <v>139</v>
      </c>
      <c r="F2" s="73" t="s">
        <v>40</v>
      </c>
      <c r="H2" s="1" t="s">
        <v>85</v>
      </c>
      <c r="I2" s="15">
        <f>I1-C24</f>
        <v>3603</v>
      </c>
    </row>
    <row r="3" spans="1:11" ht="14" x14ac:dyDescent="0.15">
      <c r="A3" s="75">
        <v>39971</v>
      </c>
      <c r="B3" s="78" t="s">
        <v>4</v>
      </c>
      <c r="C3" s="70">
        <v>5354</v>
      </c>
      <c r="D3" s="70">
        <v>5354</v>
      </c>
      <c r="E3" s="70" t="s">
        <v>126</v>
      </c>
      <c r="F3" s="70" t="s">
        <v>41</v>
      </c>
    </row>
    <row r="4" spans="1:11" ht="14" x14ac:dyDescent="0.15">
      <c r="A4" s="75">
        <v>40117</v>
      </c>
      <c r="B4" s="78" t="s">
        <v>4</v>
      </c>
      <c r="C4" s="70">
        <v>12700</v>
      </c>
      <c r="D4" s="70">
        <f>IF(ISBLANK(C4),0,C4-C3)</f>
        <v>7346</v>
      </c>
      <c r="E4" s="70">
        <f>(A4-A3)/30</f>
        <v>4.8666666666666663</v>
      </c>
      <c r="F4" s="70" t="s">
        <v>41</v>
      </c>
    </row>
    <row r="5" spans="1:11" ht="14" x14ac:dyDescent="0.15">
      <c r="A5" s="75">
        <v>40258</v>
      </c>
      <c r="B5" s="78" t="s">
        <v>4</v>
      </c>
      <c r="C5" s="70">
        <v>18575</v>
      </c>
      <c r="D5" s="70">
        <f t="shared" ref="D5:D40" si="0">IF(ISBLANK(C5),0,C5-C4)</f>
        <v>5875</v>
      </c>
      <c r="E5" s="70">
        <f t="shared" ref="E5:E40" si="1">(A5-A4)/30</f>
        <v>4.7</v>
      </c>
      <c r="F5" s="70" t="s">
        <v>41</v>
      </c>
    </row>
    <row r="6" spans="1:11" ht="14" x14ac:dyDescent="0.15">
      <c r="A6" s="75">
        <v>40381</v>
      </c>
      <c r="B6" s="78" t="s">
        <v>4</v>
      </c>
      <c r="C6" s="70">
        <v>24839</v>
      </c>
      <c r="D6" s="70">
        <f t="shared" si="0"/>
        <v>6264</v>
      </c>
      <c r="E6" s="70">
        <f t="shared" si="1"/>
        <v>4.0999999999999996</v>
      </c>
      <c r="F6" s="70" t="s">
        <v>41</v>
      </c>
    </row>
    <row r="7" spans="1:11" ht="14" x14ac:dyDescent="0.15">
      <c r="A7" s="75">
        <v>40506</v>
      </c>
      <c r="B7" s="78" t="s">
        <v>4</v>
      </c>
      <c r="C7" s="70">
        <v>30374</v>
      </c>
      <c r="D7" s="70">
        <f t="shared" si="0"/>
        <v>5535</v>
      </c>
      <c r="E7" s="70">
        <f t="shared" si="1"/>
        <v>4.166666666666667</v>
      </c>
      <c r="F7" s="70" t="s">
        <v>41</v>
      </c>
    </row>
    <row r="8" spans="1:11" ht="14" x14ac:dyDescent="0.15">
      <c r="A8" s="75">
        <v>40650</v>
      </c>
      <c r="B8" s="78" t="s">
        <v>4</v>
      </c>
      <c r="C8" s="70">
        <v>36066</v>
      </c>
      <c r="D8" s="70">
        <f t="shared" si="0"/>
        <v>5692</v>
      </c>
      <c r="E8" s="70">
        <f t="shared" si="1"/>
        <v>4.8</v>
      </c>
      <c r="F8" s="70" t="s">
        <v>41</v>
      </c>
    </row>
    <row r="9" spans="1:11" ht="14" x14ac:dyDescent="0.15">
      <c r="A9" s="75">
        <v>40769</v>
      </c>
      <c r="B9" s="78" t="s">
        <v>4</v>
      </c>
      <c r="C9" s="70">
        <v>42985</v>
      </c>
      <c r="D9" s="70">
        <f t="shared" si="0"/>
        <v>6919</v>
      </c>
      <c r="E9" s="70">
        <f t="shared" si="1"/>
        <v>3.9666666666666668</v>
      </c>
      <c r="F9" s="70" t="s">
        <v>41</v>
      </c>
    </row>
    <row r="10" spans="1:11" ht="14" x14ac:dyDescent="0.15">
      <c r="A10" s="75">
        <v>40927</v>
      </c>
      <c r="B10" s="78" t="s">
        <v>5</v>
      </c>
      <c r="C10" s="70">
        <v>53166</v>
      </c>
      <c r="D10" s="70">
        <f t="shared" si="0"/>
        <v>10181</v>
      </c>
      <c r="E10" s="70">
        <f t="shared" si="1"/>
        <v>5.2666666666666666</v>
      </c>
      <c r="F10" s="70" t="s">
        <v>41</v>
      </c>
    </row>
    <row r="11" spans="1:11" ht="14" x14ac:dyDescent="0.15">
      <c r="A11" s="75">
        <v>41016</v>
      </c>
      <c r="B11" s="78" t="s">
        <v>6</v>
      </c>
      <c r="C11" s="70">
        <v>63324</v>
      </c>
      <c r="D11" s="70">
        <f t="shared" si="0"/>
        <v>10158</v>
      </c>
      <c r="E11" s="70">
        <f t="shared" si="1"/>
        <v>2.9666666666666668</v>
      </c>
      <c r="F11" s="70" t="s">
        <v>41</v>
      </c>
    </row>
    <row r="12" spans="1:11" ht="14" x14ac:dyDescent="0.15">
      <c r="A12" s="75">
        <v>41082</v>
      </c>
      <c r="B12" s="78" t="s">
        <v>4</v>
      </c>
      <c r="C12" s="70">
        <v>70190</v>
      </c>
      <c r="D12" s="70">
        <f t="shared" si="0"/>
        <v>6866</v>
      </c>
      <c r="E12" s="70">
        <f t="shared" si="1"/>
        <v>2.2000000000000002</v>
      </c>
      <c r="F12" s="70" t="s">
        <v>41</v>
      </c>
    </row>
    <row r="13" spans="1:11" ht="14" x14ac:dyDescent="0.15">
      <c r="A13" s="75">
        <v>41168</v>
      </c>
      <c r="B13" s="78" t="s">
        <v>6</v>
      </c>
      <c r="C13" s="70">
        <v>78152</v>
      </c>
      <c r="D13" s="70">
        <f t="shared" si="0"/>
        <v>7962</v>
      </c>
      <c r="E13" s="70">
        <f t="shared" si="1"/>
        <v>2.8666666666666667</v>
      </c>
      <c r="F13" s="70" t="s">
        <v>41</v>
      </c>
    </row>
    <row r="14" spans="1:11" ht="14" x14ac:dyDescent="0.15">
      <c r="A14" s="75">
        <v>41271</v>
      </c>
      <c r="B14" s="78" t="s">
        <v>7</v>
      </c>
      <c r="C14" s="70">
        <v>87685</v>
      </c>
      <c r="D14" s="70">
        <f t="shared" si="0"/>
        <v>9533</v>
      </c>
      <c r="E14" s="70">
        <f t="shared" si="1"/>
        <v>3.4333333333333331</v>
      </c>
      <c r="F14" s="70" t="s">
        <v>41</v>
      </c>
    </row>
    <row r="15" spans="1:11" ht="14" x14ac:dyDescent="0.15">
      <c r="A15" s="75">
        <v>41348</v>
      </c>
      <c r="B15" s="78" t="s">
        <v>8</v>
      </c>
      <c r="C15" s="70">
        <v>91285</v>
      </c>
      <c r="D15" s="70">
        <f t="shared" si="0"/>
        <v>3600</v>
      </c>
      <c r="E15" s="70">
        <f t="shared" si="1"/>
        <v>2.5666666666666669</v>
      </c>
      <c r="F15" s="70" t="s">
        <v>41</v>
      </c>
    </row>
    <row r="16" spans="1:11" ht="14" x14ac:dyDescent="0.15">
      <c r="A16" s="75">
        <v>41553</v>
      </c>
      <c r="B16" s="78" t="s">
        <v>9</v>
      </c>
      <c r="C16" s="70">
        <v>96290</v>
      </c>
      <c r="D16" s="70">
        <f t="shared" si="0"/>
        <v>5005</v>
      </c>
      <c r="E16" s="70">
        <f t="shared" si="1"/>
        <v>6.833333333333333</v>
      </c>
      <c r="F16" s="70" t="s">
        <v>41</v>
      </c>
    </row>
    <row r="17" spans="1:6" ht="14" x14ac:dyDescent="0.15">
      <c r="A17" s="75">
        <v>41679</v>
      </c>
      <c r="B17" s="78" t="s">
        <v>4</v>
      </c>
      <c r="C17" s="70">
        <v>99748</v>
      </c>
      <c r="D17" s="70">
        <f t="shared" si="0"/>
        <v>3458</v>
      </c>
      <c r="E17" s="70">
        <f t="shared" si="1"/>
        <v>4.2</v>
      </c>
      <c r="F17" s="70" t="s">
        <v>42</v>
      </c>
    </row>
    <row r="18" spans="1:6" ht="14" x14ac:dyDescent="0.15">
      <c r="A18" s="75">
        <v>41770</v>
      </c>
      <c r="B18" s="78" t="s">
        <v>32</v>
      </c>
      <c r="C18" s="70">
        <v>103558</v>
      </c>
      <c r="D18" s="70">
        <f t="shared" si="0"/>
        <v>3810</v>
      </c>
      <c r="E18" s="70">
        <f t="shared" si="1"/>
        <v>3.0333333333333332</v>
      </c>
      <c r="F18" s="70" t="s">
        <v>42</v>
      </c>
    </row>
    <row r="19" spans="1:6" ht="14" x14ac:dyDescent="0.15">
      <c r="A19" s="75">
        <v>41876</v>
      </c>
      <c r="B19" s="78" t="s">
        <v>32</v>
      </c>
      <c r="C19" s="70">
        <v>107198</v>
      </c>
      <c r="D19" s="70">
        <f t="shared" si="0"/>
        <v>3640</v>
      </c>
      <c r="E19" s="70">
        <f t="shared" si="1"/>
        <v>3.5333333333333332</v>
      </c>
      <c r="F19" s="70" t="s">
        <v>42</v>
      </c>
    </row>
    <row r="20" spans="1:6" ht="14" x14ac:dyDescent="0.15">
      <c r="A20" s="75">
        <v>41981</v>
      </c>
      <c r="B20" s="78" t="s">
        <v>32</v>
      </c>
      <c r="C20" s="70">
        <v>110347</v>
      </c>
      <c r="D20" s="70">
        <f t="shared" si="0"/>
        <v>3149</v>
      </c>
      <c r="E20" s="70">
        <f t="shared" si="1"/>
        <v>3.5</v>
      </c>
      <c r="F20" s="70" t="s">
        <v>42</v>
      </c>
    </row>
    <row r="21" spans="1:6" ht="14" x14ac:dyDescent="0.15">
      <c r="A21" s="75">
        <v>42120</v>
      </c>
      <c r="B21" s="78" t="s">
        <v>4</v>
      </c>
      <c r="C21" s="70">
        <v>115468</v>
      </c>
      <c r="D21" s="70">
        <f t="shared" si="0"/>
        <v>5121</v>
      </c>
      <c r="E21" s="70">
        <f t="shared" si="1"/>
        <v>4.6333333333333337</v>
      </c>
      <c r="F21" s="70" t="s">
        <v>41</v>
      </c>
    </row>
    <row r="22" spans="1:6" ht="14" x14ac:dyDescent="0.15">
      <c r="A22" s="75">
        <v>42246</v>
      </c>
      <c r="B22" s="78" t="s">
        <v>4</v>
      </c>
      <c r="C22" s="70">
        <v>119951</v>
      </c>
      <c r="D22" s="70">
        <f t="shared" si="0"/>
        <v>4483</v>
      </c>
      <c r="E22" s="70">
        <f t="shared" si="1"/>
        <v>4.2</v>
      </c>
      <c r="F22" s="70" t="s">
        <v>41</v>
      </c>
    </row>
    <row r="23" spans="1:6" ht="14" x14ac:dyDescent="0.15">
      <c r="A23" s="75">
        <v>42379</v>
      </c>
      <c r="B23" s="78" t="s">
        <v>4</v>
      </c>
      <c r="C23" s="70">
        <v>124782</v>
      </c>
      <c r="D23" s="70">
        <f t="shared" si="0"/>
        <v>4831</v>
      </c>
      <c r="E23" s="70">
        <f t="shared" si="1"/>
        <v>4.4333333333333336</v>
      </c>
      <c r="F23" s="70" t="s">
        <v>41</v>
      </c>
    </row>
    <row r="24" spans="1:6" ht="14" x14ac:dyDescent="0.15">
      <c r="A24" s="75">
        <v>42536</v>
      </c>
      <c r="B24" s="78" t="s">
        <v>4</v>
      </c>
      <c r="C24" s="70">
        <v>127940</v>
      </c>
      <c r="D24" s="70">
        <f t="shared" si="0"/>
        <v>3158</v>
      </c>
      <c r="E24" s="70">
        <f t="shared" si="1"/>
        <v>5.2333333333333334</v>
      </c>
      <c r="F24" s="70" t="s">
        <v>41</v>
      </c>
    </row>
    <row r="25" spans="1:6" ht="14" x14ac:dyDescent="0.15">
      <c r="A25" s="75">
        <v>42707</v>
      </c>
      <c r="B25" s="78" t="s">
        <v>77</v>
      </c>
      <c r="C25" s="70">
        <v>131428</v>
      </c>
      <c r="D25" s="70">
        <f t="shared" si="0"/>
        <v>3488</v>
      </c>
      <c r="E25" s="70">
        <f t="shared" si="1"/>
        <v>5.7</v>
      </c>
      <c r="F25" s="71" t="s">
        <v>80</v>
      </c>
    </row>
    <row r="26" spans="1:6" ht="14" x14ac:dyDescent="0.15">
      <c r="A26" s="75">
        <v>42860</v>
      </c>
      <c r="B26" s="78" t="s">
        <v>4</v>
      </c>
      <c r="C26" s="70">
        <v>136397</v>
      </c>
      <c r="D26" s="70">
        <f t="shared" si="0"/>
        <v>4969</v>
      </c>
      <c r="E26" s="70">
        <f t="shared" si="1"/>
        <v>5.0999999999999996</v>
      </c>
      <c r="F26" s="70" t="s">
        <v>41</v>
      </c>
    </row>
    <row r="27" spans="1:6" ht="14" x14ac:dyDescent="0.15">
      <c r="A27" s="75">
        <v>42967</v>
      </c>
      <c r="B27" s="78" t="s">
        <v>4</v>
      </c>
      <c r="C27" s="70">
        <v>141559</v>
      </c>
      <c r="D27" s="70">
        <f t="shared" si="0"/>
        <v>5162</v>
      </c>
      <c r="E27" s="70">
        <f t="shared" si="1"/>
        <v>3.5666666666666669</v>
      </c>
      <c r="F27" s="71" t="s">
        <v>41</v>
      </c>
    </row>
    <row r="28" spans="1:6" ht="14" x14ac:dyDescent="0.15">
      <c r="A28" s="75">
        <v>43079</v>
      </c>
      <c r="B28" s="78" t="s">
        <v>4</v>
      </c>
      <c r="C28" s="70">
        <v>146247</v>
      </c>
      <c r="D28" s="70">
        <f t="shared" si="0"/>
        <v>4688</v>
      </c>
      <c r="E28" s="70">
        <f t="shared" si="1"/>
        <v>3.7333333333333334</v>
      </c>
      <c r="F28" s="70" t="s">
        <v>41</v>
      </c>
    </row>
    <row r="29" spans="1:6" ht="14" x14ac:dyDescent="0.15">
      <c r="A29" s="75">
        <v>43247</v>
      </c>
      <c r="B29" s="78" t="s">
        <v>4</v>
      </c>
      <c r="C29" s="70">
        <v>150580</v>
      </c>
      <c r="D29" s="70">
        <f t="shared" si="0"/>
        <v>4333</v>
      </c>
      <c r="E29" s="70">
        <f t="shared" si="1"/>
        <v>5.6</v>
      </c>
      <c r="F29" s="70" t="s">
        <v>41</v>
      </c>
    </row>
    <row r="30" spans="1:6" ht="14" x14ac:dyDescent="0.15">
      <c r="A30" s="75">
        <v>43436</v>
      </c>
      <c r="B30" s="78" t="s">
        <v>4</v>
      </c>
      <c r="C30" s="70">
        <v>155174</v>
      </c>
      <c r="D30" s="70">
        <f t="shared" si="0"/>
        <v>4594</v>
      </c>
      <c r="E30" s="70">
        <f t="shared" si="1"/>
        <v>6.3</v>
      </c>
      <c r="F30" s="70" t="s">
        <v>41</v>
      </c>
    </row>
    <row r="31" spans="1:6" ht="14" x14ac:dyDescent="0.15">
      <c r="A31" s="75">
        <v>43604</v>
      </c>
      <c r="B31" s="78" t="s">
        <v>4</v>
      </c>
      <c r="C31" s="70">
        <v>160639</v>
      </c>
      <c r="D31" s="70">
        <f t="shared" si="0"/>
        <v>5465</v>
      </c>
      <c r="E31" s="70">
        <f t="shared" si="1"/>
        <v>5.6</v>
      </c>
      <c r="F31" s="71" t="s">
        <v>41</v>
      </c>
    </row>
    <row r="32" spans="1:6" ht="14" x14ac:dyDescent="0.15">
      <c r="A32" s="75">
        <v>43765</v>
      </c>
      <c r="B32" s="78" t="s">
        <v>4</v>
      </c>
      <c r="C32" s="70">
        <v>166116</v>
      </c>
      <c r="D32" s="70">
        <f t="shared" si="0"/>
        <v>5477</v>
      </c>
      <c r="E32" s="70">
        <f t="shared" si="1"/>
        <v>5.3666666666666663</v>
      </c>
      <c r="F32" s="71" t="s">
        <v>41</v>
      </c>
    </row>
    <row r="33" spans="1:6" ht="14" x14ac:dyDescent="0.15">
      <c r="A33" s="75">
        <v>43982</v>
      </c>
      <c r="B33" s="84" t="s">
        <v>152</v>
      </c>
      <c r="C33" s="70">
        <v>172345</v>
      </c>
      <c r="D33" s="70">
        <f>IF(ISBLANK(C33),0,C33-C32)</f>
        <v>6229</v>
      </c>
      <c r="E33" s="70">
        <f>(A33-A32)/30</f>
        <v>7.2333333333333334</v>
      </c>
      <c r="F33" s="71" t="s">
        <v>153</v>
      </c>
    </row>
    <row r="34" spans="1:6" ht="14" x14ac:dyDescent="0.15">
      <c r="A34" s="75">
        <v>44157</v>
      </c>
      <c r="B34" s="84" t="s">
        <v>152</v>
      </c>
      <c r="C34" s="70">
        <v>177675</v>
      </c>
      <c r="D34" s="70">
        <f>IF(ISBLANK(C34),0,C34-C33)</f>
        <v>5330</v>
      </c>
      <c r="E34" s="70">
        <f>(A34-A33)/30</f>
        <v>5.833333333333333</v>
      </c>
      <c r="F34" s="71" t="s">
        <v>153</v>
      </c>
    </row>
    <row r="35" spans="1:6" ht="28" x14ac:dyDescent="0.15">
      <c r="A35" s="75">
        <v>44346</v>
      </c>
      <c r="B35" s="84" t="s">
        <v>152</v>
      </c>
      <c r="C35" s="70">
        <v>183746</v>
      </c>
      <c r="D35" s="70">
        <f>IF(ISBLANK(C35),0,C35-C34)</f>
        <v>6071</v>
      </c>
      <c r="E35" s="70">
        <f>(A35-A34)/30</f>
        <v>6.3</v>
      </c>
      <c r="F35" s="71" t="s">
        <v>159</v>
      </c>
    </row>
    <row r="36" spans="1:6" ht="28" x14ac:dyDescent="0.15">
      <c r="A36" s="75">
        <v>44528</v>
      </c>
      <c r="B36" s="84" t="s">
        <v>152</v>
      </c>
      <c r="C36" s="70">
        <v>188321</v>
      </c>
      <c r="D36" s="70">
        <f>IF(ISBLANK(C36),0,C36-C35)</f>
        <v>4575</v>
      </c>
      <c r="E36" s="70">
        <f>(A36-A35)/30</f>
        <v>6.0666666666666664</v>
      </c>
      <c r="F36" s="71" t="s">
        <v>161</v>
      </c>
    </row>
    <row r="37" spans="1:6" x14ac:dyDescent="0.15">
      <c r="A37" s="75"/>
      <c r="B37" s="84"/>
      <c r="C37" s="70"/>
      <c r="D37" s="70">
        <f>IF(ISBLANK(C37),0,C37-C34)</f>
        <v>0</v>
      </c>
      <c r="E37" s="70">
        <f>(A37-A34)/30</f>
        <v>-1471.9</v>
      </c>
      <c r="F37" s="71"/>
    </row>
    <row r="38" spans="1:6" x14ac:dyDescent="0.15">
      <c r="A38" s="75"/>
      <c r="B38" s="84"/>
      <c r="C38" s="70"/>
      <c r="D38" s="70">
        <f>IF(ISBLANK(C38),0,C38-C34)</f>
        <v>0</v>
      </c>
      <c r="E38" s="70">
        <f>(A38-A34)/30</f>
        <v>-1471.9</v>
      </c>
      <c r="F38" s="71"/>
    </row>
    <row r="39" spans="1:6" x14ac:dyDescent="0.15">
      <c r="A39" s="75"/>
      <c r="B39" s="84"/>
      <c r="C39" s="70"/>
      <c r="D39" s="70">
        <f>IF(ISBLANK(C39),0,C39-C34)</f>
        <v>0</v>
      </c>
      <c r="E39" s="70">
        <f>(A39-A34)/30</f>
        <v>-1471.9</v>
      </c>
      <c r="F39" s="71"/>
    </row>
    <row r="40" spans="1:6" x14ac:dyDescent="0.15">
      <c r="A40" s="76"/>
      <c r="B40" s="79"/>
      <c r="C40" s="74"/>
      <c r="D40" s="74">
        <f t="shared" si="0"/>
        <v>0</v>
      </c>
      <c r="E40" s="74">
        <f t="shared" si="1"/>
        <v>0</v>
      </c>
      <c r="F40" s="74"/>
    </row>
    <row r="41" spans="1:6" ht="14" x14ac:dyDescent="0.15">
      <c r="C41" s="16" t="s">
        <v>54</v>
      </c>
      <c r="D41" s="15">
        <f>SUM(D3:D40)</f>
        <v>188321</v>
      </c>
      <c r="E41" s="15"/>
    </row>
  </sheetData>
  <mergeCells count="1">
    <mergeCell ref="A1:F1"/>
  </mergeCells>
  <pageMargins left="0.5" right="0.5" top="0.75" bottom="0.75" header="0.27777800000000002" footer="0.27777800000000002"/>
  <pageSetup orientation="portrait"/>
  <headerFooter>
    <oddFooter>&amp;C&amp;"Helvetica Neue,Regular"&amp;12&amp;K000000&amp;P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O37"/>
  <sheetViews>
    <sheetView showGridLines="0" zoomScale="165" workbookViewId="0">
      <pane ySplit="2" topLeftCell="A31" activePane="bottomLeft" state="frozen"/>
      <selection pane="bottomLeft" activeCell="A35" sqref="A35"/>
    </sheetView>
  </sheetViews>
  <sheetFormatPr baseColWidth="10" defaultColWidth="16.33203125" defaultRowHeight="13" x14ac:dyDescent="0.15"/>
  <cols>
    <col min="1" max="1" width="10.1640625" bestFit="1" customWidth="1"/>
    <col min="2" max="2" width="21" bestFit="1" customWidth="1"/>
    <col min="3" max="3" width="11.1640625" bestFit="1" customWidth="1"/>
    <col min="4" max="4" width="23.5" bestFit="1" customWidth="1"/>
    <col min="5" max="5" width="48.33203125" customWidth="1"/>
    <col min="6" max="249" width="16.33203125" style="1" customWidth="1"/>
  </cols>
  <sheetData>
    <row r="1" spans="1:7" ht="14" x14ac:dyDescent="0.15">
      <c r="A1" s="34"/>
      <c r="G1" s="41" t="s">
        <v>102</v>
      </c>
    </row>
    <row r="2" spans="1:7" ht="14" x14ac:dyDescent="0.15">
      <c r="A2" s="35" t="s">
        <v>1</v>
      </c>
      <c r="B2" s="35" t="s">
        <v>2</v>
      </c>
      <c r="C2" s="35" t="s">
        <v>3</v>
      </c>
      <c r="D2" s="35" t="s">
        <v>10</v>
      </c>
      <c r="E2" s="35" t="s">
        <v>11</v>
      </c>
    </row>
    <row r="3" spans="1:7" ht="14" x14ac:dyDescent="0.15">
      <c r="A3" s="36">
        <v>40192</v>
      </c>
      <c r="B3" s="42" t="s">
        <v>12</v>
      </c>
      <c r="C3" s="39">
        <v>15280</v>
      </c>
      <c r="D3" s="35" t="s">
        <v>13</v>
      </c>
    </row>
    <row r="4" spans="1:7" ht="14" x14ac:dyDescent="0.15">
      <c r="A4" s="36">
        <v>40234</v>
      </c>
      <c r="B4" s="42" t="s">
        <v>12</v>
      </c>
      <c r="C4" s="39">
        <v>17226</v>
      </c>
      <c r="D4" s="35" t="s">
        <v>14</v>
      </c>
    </row>
    <row r="5" spans="1:7" ht="28" x14ac:dyDescent="0.15">
      <c r="A5" s="36">
        <v>40381</v>
      </c>
      <c r="B5" s="42" t="s">
        <v>12</v>
      </c>
      <c r="C5" s="39">
        <v>24839</v>
      </c>
      <c r="D5" s="35" t="s">
        <v>15</v>
      </c>
    </row>
    <row r="6" spans="1:7" ht="112" x14ac:dyDescent="0.15">
      <c r="A6" s="36">
        <v>40392</v>
      </c>
      <c r="B6" s="42" t="s">
        <v>12</v>
      </c>
      <c r="C6" s="39">
        <v>25268</v>
      </c>
      <c r="D6" s="35" t="s">
        <v>16</v>
      </c>
      <c r="E6" s="35" t="s">
        <v>17</v>
      </c>
    </row>
    <row r="7" spans="1:7" ht="14" x14ac:dyDescent="0.15">
      <c r="A7" s="37">
        <v>40506</v>
      </c>
      <c r="B7" s="42" t="s">
        <v>12</v>
      </c>
      <c r="C7" s="39">
        <v>30374</v>
      </c>
      <c r="D7" s="35" t="s">
        <v>18</v>
      </c>
    </row>
    <row r="8" spans="1:7" ht="14" x14ac:dyDescent="0.15">
      <c r="A8" s="36">
        <v>40746</v>
      </c>
      <c r="B8" s="42" t="s">
        <v>12</v>
      </c>
      <c r="C8" s="39">
        <v>40314</v>
      </c>
      <c r="D8" s="35" t="s">
        <v>13</v>
      </c>
    </row>
    <row r="9" spans="1:7" ht="14" x14ac:dyDescent="0.15">
      <c r="A9" s="36">
        <v>40782</v>
      </c>
      <c r="B9" s="42" t="s">
        <v>12</v>
      </c>
      <c r="C9" s="39" t="s">
        <v>19</v>
      </c>
      <c r="D9" s="35" t="s">
        <v>13</v>
      </c>
    </row>
    <row r="10" spans="1:7" ht="14" x14ac:dyDescent="0.15">
      <c r="A10" s="36">
        <v>41016</v>
      </c>
      <c r="B10" s="42" t="s">
        <v>6</v>
      </c>
      <c r="C10" s="39">
        <v>63324</v>
      </c>
      <c r="D10" s="35" t="s">
        <v>20</v>
      </c>
    </row>
    <row r="11" spans="1:7" ht="42" x14ac:dyDescent="0.15">
      <c r="A11" s="36">
        <v>41348</v>
      </c>
      <c r="B11" s="35" t="s">
        <v>8</v>
      </c>
      <c r="C11" s="39">
        <v>91285</v>
      </c>
      <c r="D11" s="35" t="s">
        <v>21</v>
      </c>
    </row>
    <row r="12" spans="1:7" ht="28" x14ac:dyDescent="0.15">
      <c r="A12" s="36">
        <v>41429</v>
      </c>
      <c r="B12" s="35" t="s">
        <v>22</v>
      </c>
      <c r="C12" s="39">
        <v>93335</v>
      </c>
      <c r="D12" s="35" t="s">
        <v>23</v>
      </c>
      <c r="E12" s="35" t="s">
        <v>24</v>
      </c>
    </row>
    <row r="13" spans="1:7" ht="14" x14ac:dyDescent="0.15">
      <c r="A13" s="36">
        <v>41677</v>
      </c>
      <c r="B13" s="35" t="s">
        <v>25</v>
      </c>
      <c r="C13" s="39">
        <v>99440</v>
      </c>
      <c r="D13" s="35" t="s">
        <v>26</v>
      </c>
      <c r="E13" s="35" t="s">
        <v>27</v>
      </c>
    </row>
    <row r="14" spans="1:7" ht="42" x14ac:dyDescent="0.15">
      <c r="A14" s="36">
        <v>41679</v>
      </c>
      <c r="B14" s="35" t="s">
        <v>12</v>
      </c>
      <c r="C14" s="39">
        <v>99748</v>
      </c>
      <c r="D14" s="35" t="s">
        <v>28</v>
      </c>
      <c r="E14" s="35" t="s">
        <v>29</v>
      </c>
    </row>
    <row r="15" spans="1:7" ht="28" x14ac:dyDescent="0.15">
      <c r="A15" s="36">
        <v>41707</v>
      </c>
      <c r="B15" s="35" t="s">
        <v>12</v>
      </c>
      <c r="C15" s="39">
        <v>100593</v>
      </c>
      <c r="D15" s="35" t="s">
        <v>30</v>
      </c>
      <c r="E15" s="35" t="s">
        <v>31</v>
      </c>
    </row>
    <row r="16" spans="1:7" ht="168" x14ac:dyDescent="0.15">
      <c r="A16" s="36">
        <v>41713</v>
      </c>
      <c r="B16" s="35" t="s">
        <v>32</v>
      </c>
      <c r="C16" s="39">
        <v>101228</v>
      </c>
      <c r="D16" s="35" t="s">
        <v>33</v>
      </c>
      <c r="E16" s="35" t="s">
        <v>79</v>
      </c>
    </row>
    <row r="17" spans="1:5" ht="14" x14ac:dyDescent="0.15">
      <c r="A17" s="38">
        <v>41854</v>
      </c>
      <c r="B17" s="35" t="s">
        <v>25</v>
      </c>
      <c r="C17" s="39">
        <v>106635</v>
      </c>
      <c r="D17" s="35" t="s">
        <v>36</v>
      </c>
      <c r="E17" s="35" t="s">
        <v>53</v>
      </c>
    </row>
    <row r="18" spans="1:5" ht="14" x14ac:dyDescent="0.15">
      <c r="A18" s="38">
        <v>42120</v>
      </c>
      <c r="B18" t="s">
        <v>37</v>
      </c>
      <c r="C18" s="39">
        <v>115468</v>
      </c>
      <c r="D18" t="s">
        <v>38</v>
      </c>
      <c r="E18" t="s">
        <v>39</v>
      </c>
    </row>
    <row r="19" spans="1:5" ht="56" x14ac:dyDescent="0.15">
      <c r="A19" s="38">
        <v>42246</v>
      </c>
      <c r="B19" t="s">
        <v>12</v>
      </c>
      <c r="C19" s="39">
        <v>119951</v>
      </c>
      <c r="D19" t="s">
        <v>38</v>
      </c>
      <c r="E19" t="s">
        <v>45</v>
      </c>
    </row>
    <row r="20" spans="1:5" ht="14" x14ac:dyDescent="0.15">
      <c r="A20" s="38">
        <v>42379</v>
      </c>
      <c r="B20" t="s">
        <v>12</v>
      </c>
      <c r="C20" s="39">
        <v>124782</v>
      </c>
      <c r="D20" t="s">
        <v>46</v>
      </c>
      <c r="E20" t="s">
        <v>46</v>
      </c>
    </row>
    <row r="21" spans="1:5" ht="14" x14ac:dyDescent="0.15">
      <c r="A21" s="38">
        <v>42523</v>
      </c>
      <c r="B21" s="35" t="s">
        <v>32</v>
      </c>
      <c r="C21" s="39">
        <v>127500</v>
      </c>
      <c r="D21" s="35" t="s">
        <v>43</v>
      </c>
      <c r="E21" s="82" t="s">
        <v>47</v>
      </c>
    </row>
    <row r="22" spans="1:5" ht="42" x14ac:dyDescent="0.15">
      <c r="A22" s="38">
        <v>42536</v>
      </c>
      <c r="B22" t="s">
        <v>12</v>
      </c>
      <c r="C22" s="39">
        <v>127940</v>
      </c>
      <c r="D22" t="s">
        <v>50</v>
      </c>
      <c r="E22" t="s">
        <v>52</v>
      </c>
    </row>
    <row r="23" spans="1:5" ht="42" x14ac:dyDescent="0.15">
      <c r="A23" s="38">
        <v>42653</v>
      </c>
      <c r="B23" t="s">
        <v>32</v>
      </c>
      <c r="C23" s="39">
        <v>130092</v>
      </c>
      <c r="D23" t="s">
        <v>64</v>
      </c>
      <c r="E23" t="s">
        <v>65</v>
      </c>
    </row>
    <row r="24" spans="1:5" ht="56" x14ac:dyDescent="0.15">
      <c r="A24" s="38">
        <v>42659</v>
      </c>
      <c r="B24" t="s">
        <v>12</v>
      </c>
      <c r="C24" s="39">
        <v>130209</v>
      </c>
      <c r="D24" t="s">
        <v>71</v>
      </c>
      <c r="E24" t="s">
        <v>72</v>
      </c>
    </row>
    <row r="25" spans="1:5" ht="14" x14ac:dyDescent="0.15">
      <c r="A25" s="38">
        <v>42693</v>
      </c>
      <c r="B25" t="s">
        <v>32</v>
      </c>
      <c r="C25" s="39">
        <v>131150</v>
      </c>
      <c r="D25" t="s">
        <v>74</v>
      </c>
      <c r="E25" t="s">
        <v>75</v>
      </c>
    </row>
    <row r="26" spans="1:5" ht="14" x14ac:dyDescent="0.15">
      <c r="A26" s="38">
        <v>42707</v>
      </c>
      <c r="B26" t="s">
        <v>12</v>
      </c>
      <c r="C26" s="39">
        <v>131428</v>
      </c>
      <c r="D26" t="s">
        <v>20</v>
      </c>
      <c r="E26" t="s">
        <v>78</v>
      </c>
    </row>
    <row r="27" spans="1:5" ht="28" x14ac:dyDescent="0.15">
      <c r="A27" s="38">
        <v>42711</v>
      </c>
      <c r="B27" t="s">
        <v>12</v>
      </c>
      <c r="C27" s="39">
        <v>131543</v>
      </c>
      <c r="D27" t="s">
        <v>86</v>
      </c>
      <c r="E27" t="s">
        <v>82</v>
      </c>
    </row>
    <row r="28" spans="1:5" ht="28" x14ac:dyDescent="0.15">
      <c r="A28" s="38">
        <v>42734</v>
      </c>
      <c r="B28" t="s">
        <v>25</v>
      </c>
      <c r="C28" s="39">
        <v>132715</v>
      </c>
      <c r="D28" t="s">
        <v>89</v>
      </c>
      <c r="E28" t="s">
        <v>90</v>
      </c>
    </row>
    <row r="29" spans="1:5" ht="28" x14ac:dyDescent="0.15">
      <c r="A29" s="38">
        <v>42854</v>
      </c>
      <c r="B29" t="s">
        <v>92</v>
      </c>
      <c r="C29" s="39">
        <v>136181</v>
      </c>
      <c r="D29" t="s">
        <v>93</v>
      </c>
      <c r="E29" t="s">
        <v>94</v>
      </c>
    </row>
    <row r="30" spans="1:5" ht="28" x14ac:dyDescent="0.15">
      <c r="A30" s="38">
        <v>42868</v>
      </c>
      <c r="B30" t="s">
        <v>12</v>
      </c>
      <c r="C30" s="39">
        <v>136751</v>
      </c>
      <c r="D30" t="s">
        <v>103</v>
      </c>
      <c r="E30" t="s">
        <v>97</v>
      </c>
    </row>
    <row r="31" spans="1:5" ht="14" x14ac:dyDescent="0.15">
      <c r="A31" s="38">
        <v>43079</v>
      </c>
      <c r="B31" t="s">
        <v>12</v>
      </c>
      <c r="C31" s="39">
        <v>146247</v>
      </c>
      <c r="D31" t="s">
        <v>36</v>
      </c>
      <c r="E31" t="s">
        <v>29</v>
      </c>
    </row>
    <row r="32" spans="1:5" ht="28" x14ac:dyDescent="0.15">
      <c r="A32" s="38">
        <v>43436</v>
      </c>
      <c r="B32" t="s">
        <v>12</v>
      </c>
      <c r="C32" s="39">
        <v>155174</v>
      </c>
      <c r="D32" t="s">
        <v>127</v>
      </c>
      <c r="E32" t="s">
        <v>128</v>
      </c>
    </row>
    <row r="33" spans="1:5" ht="42" x14ac:dyDescent="0.15">
      <c r="A33" s="38">
        <v>43604</v>
      </c>
      <c r="B33" t="s">
        <v>12</v>
      </c>
      <c r="C33" s="39">
        <v>160639</v>
      </c>
      <c r="D33" t="s">
        <v>129</v>
      </c>
      <c r="E33" t="s">
        <v>133</v>
      </c>
    </row>
    <row r="34" spans="1:5" ht="28" x14ac:dyDescent="0.15">
      <c r="A34" s="38">
        <v>43765</v>
      </c>
      <c r="B34" s="81" t="s">
        <v>12</v>
      </c>
      <c r="C34" s="39">
        <v>166116</v>
      </c>
      <c r="D34" t="s">
        <v>36</v>
      </c>
      <c r="E34" s="81" t="s">
        <v>140</v>
      </c>
    </row>
    <row r="35" spans="1:5" ht="70" x14ac:dyDescent="0.15">
      <c r="A35" s="38">
        <v>44316</v>
      </c>
      <c r="B35" s="81" t="s">
        <v>156</v>
      </c>
      <c r="C35" s="39">
        <v>182998</v>
      </c>
      <c r="D35" s="81" t="s">
        <v>154</v>
      </c>
      <c r="E35" s="81" t="s">
        <v>155</v>
      </c>
    </row>
    <row r="36" spans="1:5" ht="14" x14ac:dyDescent="0.15">
      <c r="A36" s="38">
        <v>44421</v>
      </c>
      <c r="B36" s="81" t="s">
        <v>160</v>
      </c>
      <c r="C36" s="39"/>
      <c r="D36" s="81" t="s">
        <v>43</v>
      </c>
    </row>
    <row r="37" spans="1:5" x14ac:dyDescent="0.15">
      <c r="A37" s="38"/>
      <c r="C37" s="39"/>
    </row>
  </sheetData>
  <pageMargins left="1" right="1" top="1" bottom="1" header="0.25" footer="0.25"/>
  <pageSetup orientation="portrait"/>
  <headerFooter>
    <oddFooter>&amp;C&amp;"Helvetica Neue,Regular"&amp;12&amp;K000000&amp;P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V14"/>
  <sheetViews>
    <sheetView showGridLines="0" workbookViewId="0">
      <pane xSplit="1" ySplit="2" topLeftCell="B6" activePane="bottomRight" state="frozen"/>
      <selection pane="topRight"/>
      <selection pane="bottomLeft"/>
      <selection pane="bottomRight" activeCell="C18" sqref="C18"/>
    </sheetView>
  </sheetViews>
  <sheetFormatPr baseColWidth="10" defaultColWidth="16.33203125" defaultRowHeight="20" customHeight="1" x14ac:dyDescent="0.15"/>
  <cols>
    <col min="1" max="1" width="16.33203125" style="1" customWidth="1"/>
    <col min="2" max="2" width="11.6640625" style="9" bestFit="1" customWidth="1"/>
    <col min="3" max="3" width="67" style="1" customWidth="1"/>
    <col min="4" max="256" width="16.33203125" style="1" customWidth="1"/>
  </cols>
  <sheetData>
    <row r="1" spans="1:3" ht="27.75" customHeight="1" x14ac:dyDescent="0.15">
      <c r="A1" s="88" t="s">
        <v>34</v>
      </c>
      <c r="B1" s="88"/>
      <c r="C1" s="88"/>
    </row>
    <row r="2" spans="1:3" ht="20.25" customHeight="1" x14ac:dyDescent="0.15">
      <c r="A2" s="2" t="s">
        <v>1</v>
      </c>
      <c r="B2" s="6" t="s">
        <v>3</v>
      </c>
      <c r="C2" s="2" t="s">
        <v>35</v>
      </c>
    </row>
    <row r="3" spans="1:3" ht="409.6" x14ac:dyDescent="0.15">
      <c r="A3" s="3">
        <v>41722</v>
      </c>
      <c r="B3" s="7">
        <v>100522</v>
      </c>
      <c r="C3" s="31" t="s">
        <v>112</v>
      </c>
    </row>
    <row r="4" spans="1:3" ht="42" x14ac:dyDescent="0.15">
      <c r="A4" s="5">
        <v>41726</v>
      </c>
      <c r="B4" s="8">
        <v>100659</v>
      </c>
      <c r="C4" s="32" t="s">
        <v>113</v>
      </c>
    </row>
    <row r="5" spans="1:3" ht="42" x14ac:dyDescent="0.15">
      <c r="A5" s="5">
        <v>41729</v>
      </c>
      <c r="B5" s="8">
        <v>100777</v>
      </c>
      <c r="C5" s="32" t="s">
        <v>44</v>
      </c>
    </row>
    <row r="6" spans="1:3" ht="28" x14ac:dyDescent="0.15">
      <c r="A6" s="5">
        <v>42533</v>
      </c>
      <c r="B6" s="8">
        <v>127851</v>
      </c>
      <c r="C6" s="4" t="s">
        <v>48</v>
      </c>
    </row>
    <row r="7" spans="1:3" ht="28" x14ac:dyDescent="0.15">
      <c r="A7" s="5">
        <v>42653</v>
      </c>
      <c r="B7" s="8">
        <v>130092</v>
      </c>
      <c r="C7" s="4" t="s">
        <v>66</v>
      </c>
    </row>
    <row r="8" spans="1:3" ht="112" x14ac:dyDescent="0.15">
      <c r="A8" s="5">
        <v>42659</v>
      </c>
      <c r="B8" s="8">
        <v>130292</v>
      </c>
      <c r="C8" s="4" t="s">
        <v>73</v>
      </c>
    </row>
    <row r="9" spans="1:3" ht="28" x14ac:dyDescent="0.15">
      <c r="A9" s="5">
        <v>42683</v>
      </c>
      <c r="B9" s="8">
        <v>130581</v>
      </c>
      <c r="C9" s="4" t="s">
        <v>76</v>
      </c>
    </row>
    <row r="10" spans="1:3" ht="42" x14ac:dyDescent="0.15">
      <c r="A10" s="5">
        <v>42707</v>
      </c>
      <c r="B10" s="8">
        <v>131428</v>
      </c>
      <c r="C10" s="4" t="s">
        <v>83</v>
      </c>
    </row>
    <row r="11" spans="1:3" ht="42" x14ac:dyDescent="0.15">
      <c r="A11" s="5">
        <v>42711</v>
      </c>
      <c r="B11" s="8">
        <v>131543</v>
      </c>
      <c r="C11" s="4" t="s">
        <v>81</v>
      </c>
    </row>
    <row r="12" spans="1:3" ht="56" x14ac:dyDescent="0.15">
      <c r="A12" s="5">
        <v>42813</v>
      </c>
      <c r="B12" s="8">
        <v>134350</v>
      </c>
      <c r="C12" s="4" t="s">
        <v>91</v>
      </c>
    </row>
    <row r="13" spans="1:3" ht="28" x14ac:dyDescent="0.15">
      <c r="A13" s="5">
        <v>42854</v>
      </c>
      <c r="B13" s="52">
        <v>136181</v>
      </c>
      <c r="C13" s="53" t="s">
        <v>95</v>
      </c>
    </row>
    <row r="14" spans="1:3" ht="28" x14ac:dyDescent="0.15">
      <c r="A14" s="51">
        <v>43066</v>
      </c>
      <c r="B14" s="54">
        <v>145900</v>
      </c>
      <c r="C14" s="55" t="s">
        <v>114</v>
      </c>
    </row>
  </sheetData>
  <sortState xmlns:xlrd2="http://schemas.microsoft.com/office/spreadsheetml/2017/richdata2" ref="A3:C13">
    <sortCondition ref="A2:A13"/>
  </sortState>
  <mergeCells count="1">
    <mergeCell ref="A1:C1"/>
  </mergeCells>
  <pageMargins left="1" right="1" top="1" bottom="1" header="0.25" footer="0.25"/>
  <pageSetup orientation="portrait"/>
  <headerFooter>
    <oddFooter>&amp;C&amp;"Helvetica Neue,Regular"&amp;12&amp;K000000&amp;P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E0E0D-9FC3-E94A-8413-EE2219B53404}">
  <dimension ref="A1:M34"/>
  <sheetViews>
    <sheetView tabSelected="1" topLeftCell="A2" zoomScale="125" workbookViewId="0">
      <selection activeCell="K5" sqref="K5"/>
    </sheetView>
  </sheetViews>
  <sheetFormatPr baseColWidth="10" defaultRowHeight="13" x14ac:dyDescent="0.15"/>
  <cols>
    <col min="1" max="1" width="42.6640625" style="10" bestFit="1" customWidth="1"/>
    <col min="2" max="2" width="14.6640625" style="10" bestFit="1" customWidth="1"/>
    <col min="3" max="3" width="10.33203125" style="10" bestFit="1" customWidth="1"/>
    <col min="4" max="4" width="13" style="10" bestFit="1" customWidth="1"/>
    <col min="5" max="5" width="12.1640625" style="10" bestFit="1" customWidth="1"/>
    <col min="6" max="6" width="13.5" style="10" bestFit="1" customWidth="1"/>
    <col min="7" max="7" width="12.6640625" style="10" bestFit="1" customWidth="1"/>
    <col min="8" max="8" width="15" style="17" bestFit="1" customWidth="1"/>
    <col min="9" max="9" width="12.6640625" style="10" bestFit="1" customWidth="1"/>
    <col min="10" max="10" width="11.33203125" style="10" bestFit="1" customWidth="1"/>
    <col min="11" max="11" width="10.83203125" style="10"/>
    <col min="12" max="12" width="20" style="10" bestFit="1" customWidth="1"/>
    <col min="13" max="16384" width="10.83203125" style="10"/>
  </cols>
  <sheetData>
    <row r="1" spans="1:13" ht="6" customHeight="1" x14ac:dyDescent="0.15"/>
    <row r="2" spans="1:13" ht="18" x14ac:dyDescent="0.15">
      <c r="A2" s="25" t="s">
        <v>107</v>
      </c>
      <c r="B2" s="47">
        <v>188322</v>
      </c>
      <c r="C2" s="12"/>
      <c r="E2" s="90" t="s">
        <v>118</v>
      </c>
      <c r="F2" s="90"/>
      <c r="G2" s="90"/>
      <c r="J2" s="64" t="s">
        <v>100</v>
      </c>
      <c r="K2" s="60">
        <v>40</v>
      </c>
    </row>
    <row r="3" spans="1:13" ht="18" x14ac:dyDescent="0.15">
      <c r="A3" s="25" t="s">
        <v>106</v>
      </c>
      <c r="B3" s="48">
        <f>ROUNDUP((B4*4)+((B4*4)*6%),0)</f>
        <v>463</v>
      </c>
      <c r="E3" s="91" t="s">
        <v>119</v>
      </c>
      <c r="F3" s="91"/>
      <c r="G3" s="91"/>
      <c r="J3" s="65" t="s">
        <v>101</v>
      </c>
      <c r="K3" s="61">
        <v>7.0000000000000007E-2</v>
      </c>
    </row>
    <row r="4" spans="1:13" ht="18" x14ac:dyDescent="0.15">
      <c r="A4" s="25" t="s">
        <v>104</v>
      </c>
      <c r="B4" s="48">
        <f>ROUNDUP((B5*7)+((B5*7)*3%),0)</f>
        <v>109</v>
      </c>
      <c r="J4" s="66" t="s">
        <v>108</v>
      </c>
      <c r="K4" s="62">
        <v>2.99</v>
      </c>
    </row>
    <row r="5" spans="1:13" ht="18" x14ac:dyDescent="0.15">
      <c r="A5" s="25" t="s">
        <v>105</v>
      </c>
      <c r="B5" s="49">
        <v>15</v>
      </c>
      <c r="E5" s="11" t="s">
        <v>57</v>
      </c>
      <c r="J5" s="67" t="s">
        <v>109</v>
      </c>
      <c r="K5" s="63">
        <v>15</v>
      </c>
    </row>
    <row r="6" spans="1:13" ht="18" x14ac:dyDescent="0.15">
      <c r="A6" s="25" t="s">
        <v>110</v>
      </c>
      <c r="B6" s="50">
        <f>ROUNDUP((B3/K5)*K4,0)</f>
        <v>93</v>
      </c>
    </row>
    <row r="7" spans="1:13" x14ac:dyDescent="0.15">
      <c r="A7" s="11"/>
    </row>
    <row r="8" spans="1:13" ht="17" x14ac:dyDescent="0.15">
      <c r="A8" s="24" t="s">
        <v>70</v>
      </c>
    </row>
    <row r="9" spans="1:13" ht="45" x14ac:dyDescent="0.15">
      <c r="A9" s="13" t="s">
        <v>49</v>
      </c>
      <c r="B9" s="14" t="s">
        <v>130</v>
      </c>
      <c r="C9" s="14" t="s">
        <v>116</v>
      </c>
      <c r="D9" s="14" t="s">
        <v>98</v>
      </c>
      <c r="E9" s="14" t="s">
        <v>117</v>
      </c>
      <c r="F9" s="14" t="s">
        <v>120</v>
      </c>
      <c r="G9" s="14" t="s">
        <v>99</v>
      </c>
      <c r="H9" s="14" t="s">
        <v>85</v>
      </c>
      <c r="I9" s="14" t="s">
        <v>58</v>
      </c>
      <c r="J9" s="33" t="s">
        <v>62</v>
      </c>
      <c r="K9" s="33" t="s">
        <v>121</v>
      </c>
      <c r="L9" s="33" t="s">
        <v>122</v>
      </c>
    </row>
    <row r="10" spans="1:13" ht="14" x14ac:dyDescent="0.15">
      <c r="A10" s="11" t="s">
        <v>51</v>
      </c>
      <c r="B10" s="11" t="s">
        <v>132</v>
      </c>
      <c r="C10" s="58">
        <v>41429</v>
      </c>
      <c r="D10" s="18">
        <v>93335</v>
      </c>
      <c r="E10" s="56">
        <f t="shared" ref="E10:E28" si="0">IF(B10="Regular",D10+F10,)</f>
        <v>0</v>
      </c>
      <c r="G10" s="46">
        <f t="shared" ref="G10:G28" si="1">$B$2-D10</f>
        <v>94987</v>
      </c>
      <c r="H10" s="46">
        <f t="shared" ref="H10:H28" si="2">IF(B10="Regular",F10-G10,)</f>
        <v>0</v>
      </c>
      <c r="I10" s="85">
        <v>190.01</v>
      </c>
      <c r="J10" s="43" t="s">
        <v>63</v>
      </c>
      <c r="K10" s="57">
        <f t="shared" ref="K10:K28" ca="1" si="3">(NOW()-C10)/30</f>
        <v>103.31535268904311</v>
      </c>
      <c r="L10" s="59">
        <f t="shared" ref="L10:L28" ca="1" si="4">IF(K10&lt;12,0,K10/12)</f>
        <v>8.6096127240869258</v>
      </c>
      <c r="M10" s="68"/>
    </row>
    <row r="11" spans="1:13" ht="14" x14ac:dyDescent="0.15">
      <c r="A11" s="11" t="s">
        <v>124</v>
      </c>
      <c r="B11" s="11" t="s">
        <v>131</v>
      </c>
      <c r="C11" s="58">
        <v>42246</v>
      </c>
      <c r="D11" s="18">
        <v>119951</v>
      </c>
      <c r="E11" s="56">
        <f t="shared" si="0"/>
        <v>189951</v>
      </c>
      <c r="F11" s="46">
        <v>70000</v>
      </c>
      <c r="G11" s="46">
        <f t="shared" si="1"/>
        <v>68371</v>
      </c>
      <c r="H11" s="46">
        <f t="shared" si="2"/>
        <v>1629</v>
      </c>
      <c r="I11" s="85">
        <v>187</v>
      </c>
      <c r="J11" s="43" t="s">
        <v>111</v>
      </c>
      <c r="K11" s="57">
        <f t="shared" ca="1" si="3"/>
        <v>76.082019355709775</v>
      </c>
      <c r="L11" s="59">
        <f t="shared" ca="1" si="4"/>
        <v>6.340168279642481</v>
      </c>
      <c r="M11" s="68"/>
    </row>
    <row r="12" spans="1:13" ht="14" x14ac:dyDescent="0.15">
      <c r="A12" s="11" t="s">
        <v>125</v>
      </c>
      <c r="B12" s="11" t="s">
        <v>131</v>
      </c>
      <c r="C12" s="58">
        <v>42379</v>
      </c>
      <c r="D12" s="18">
        <v>124782</v>
      </c>
      <c r="E12" s="56">
        <f t="shared" si="0"/>
        <v>174782</v>
      </c>
      <c r="F12" s="46">
        <v>50000</v>
      </c>
      <c r="G12" s="46">
        <f t="shared" si="1"/>
        <v>63540</v>
      </c>
      <c r="H12" s="46">
        <f t="shared" si="2"/>
        <v>-13540</v>
      </c>
      <c r="I12" s="85">
        <v>119</v>
      </c>
      <c r="J12" s="43" t="s">
        <v>111</v>
      </c>
      <c r="K12" s="57">
        <f t="shared" ca="1" si="3"/>
        <v>71.648686022376452</v>
      </c>
      <c r="L12" s="59">
        <f t="shared" ca="1" si="4"/>
        <v>5.9707238351980374</v>
      </c>
      <c r="M12" s="68"/>
    </row>
    <row r="13" spans="1:13" ht="14" x14ac:dyDescent="0.15">
      <c r="A13" s="10" t="s">
        <v>59</v>
      </c>
      <c r="B13" s="11" t="s">
        <v>132</v>
      </c>
      <c r="C13" s="58">
        <v>44421</v>
      </c>
      <c r="D13" s="18">
        <v>190000</v>
      </c>
      <c r="E13" s="56">
        <f t="shared" si="0"/>
        <v>0</v>
      </c>
      <c r="G13" s="46">
        <f t="shared" si="1"/>
        <v>-1678</v>
      </c>
      <c r="H13" s="46">
        <f t="shared" si="2"/>
        <v>0</v>
      </c>
      <c r="I13" s="85">
        <v>140</v>
      </c>
      <c r="J13" s="44" t="s">
        <v>63</v>
      </c>
      <c r="K13" s="57">
        <f t="shared" ca="1" si="3"/>
        <v>3.582019355709781</v>
      </c>
      <c r="L13" s="59">
        <f t="shared" ca="1" si="4"/>
        <v>0</v>
      </c>
      <c r="M13" s="68"/>
    </row>
    <row r="14" spans="1:13" ht="14" x14ac:dyDescent="0.15">
      <c r="A14" s="11" t="s">
        <v>158</v>
      </c>
      <c r="B14" s="11" t="s">
        <v>132</v>
      </c>
      <c r="C14" s="58">
        <v>44316</v>
      </c>
      <c r="D14" s="18">
        <v>127940</v>
      </c>
      <c r="E14" s="56">
        <f t="shared" si="0"/>
        <v>0</v>
      </c>
      <c r="G14" s="46">
        <f t="shared" si="1"/>
        <v>60382</v>
      </c>
      <c r="H14" s="46">
        <f t="shared" si="2"/>
        <v>0</v>
      </c>
      <c r="I14" s="85">
        <v>900</v>
      </c>
      <c r="J14" s="43" t="s">
        <v>63</v>
      </c>
      <c r="K14" s="57">
        <f t="shared" ca="1" si="3"/>
        <v>7.0820193557097806</v>
      </c>
      <c r="L14" s="59">
        <f t="shared" ca="1" si="4"/>
        <v>0</v>
      </c>
      <c r="M14" s="68"/>
    </row>
    <row r="15" spans="1:13" ht="14" x14ac:dyDescent="0.15">
      <c r="A15" s="10" t="s">
        <v>60</v>
      </c>
      <c r="B15" s="11" t="s">
        <v>132</v>
      </c>
      <c r="C15" s="58">
        <v>42536</v>
      </c>
      <c r="D15" s="18">
        <v>127940</v>
      </c>
      <c r="E15" s="56">
        <f t="shared" si="0"/>
        <v>0</v>
      </c>
      <c r="G15" s="46">
        <f t="shared" si="1"/>
        <v>60382</v>
      </c>
      <c r="H15" s="46">
        <f t="shared" si="2"/>
        <v>0</v>
      </c>
      <c r="I15" s="85">
        <v>150</v>
      </c>
      <c r="J15" s="44" t="s">
        <v>63</v>
      </c>
      <c r="K15" s="57">
        <f t="shared" ca="1" si="3"/>
        <v>66.415352689043118</v>
      </c>
      <c r="L15" s="59">
        <f t="shared" ca="1" si="4"/>
        <v>5.5346127240869265</v>
      </c>
      <c r="M15" s="68"/>
    </row>
    <row r="16" spans="1:13" ht="14" x14ac:dyDescent="0.15">
      <c r="A16" s="10" t="s">
        <v>61</v>
      </c>
      <c r="B16" s="11" t="s">
        <v>132</v>
      </c>
      <c r="C16" s="58">
        <v>42536</v>
      </c>
      <c r="D16" s="18">
        <v>127940</v>
      </c>
      <c r="E16" s="56">
        <f t="shared" si="0"/>
        <v>0</v>
      </c>
      <c r="G16" s="46">
        <f t="shared" si="1"/>
        <v>60382</v>
      </c>
      <c r="H16" s="46">
        <f t="shared" si="2"/>
        <v>0</v>
      </c>
      <c r="I16" s="86">
        <v>170</v>
      </c>
      <c r="J16" s="45" t="s">
        <v>63</v>
      </c>
      <c r="K16" s="57">
        <f t="shared" ca="1" si="3"/>
        <v>66.415352689043118</v>
      </c>
      <c r="L16" s="59">
        <f t="shared" ca="1" si="4"/>
        <v>5.5346127240869265</v>
      </c>
      <c r="M16" s="68"/>
    </row>
    <row r="17" spans="1:12" ht="14" x14ac:dyDescent="0.15">
      <c r="A17" s="11" t="s">
        <v>136</v>
      </c>
      <c r="B17" s="11" t="s">
        <v>131</v>
      </c>
      <c r="C17" s="58">
        <v>44316</v>
      </c>
      <c r="D17" s="18">
        <v>182998</v>
      </c>
      <c r="E17" s="56">
        <f t="shared" si="0"/>
        <v>282998</v>
      </c>
      <c r="F17" s="46">
        <v>100000</v>
      </c>
      <c r="G17" s="46">
        <f t="shared" si="1"/>
        <v>5324</v>
      </c>
      <c r="H17" s="46">
        <f t="shared" si="2"/>
        <v>94676</v>
      </c>
      <c r="I17" s="85">
        <v>80</v>
      </c>
      <c r="J17" s="44" t="s">
        <v>63</v>
      </c>
      <c r="K17" s="57">
        <f t="shared" ca="1" si="3"/>
        <v>7.0820193557097806</v>
      </c>
      <c r="L17" s="59">
        <f t="shared" ca="1" si="4"/>
        <v>0</v>
      </c>
    </row>
    <row r="18" spans="1:12" ht="14" x14ac:dyDescent="0.15">
      <c r="A18" s="26" t="s">
        <v>157</v>
      </c>
      <c r="B18" s="11" t="s">
        <v>132</v>
      </c>
      <c r="C18" s="58">
        <v>44316</v>
      </c>
      <c r="D18" s="18">
        <v>182998</v>
      </c>
      <c r="E18" s="56">
        <f t="shared" si="0"/>
        <v>0</v>
      </c>
      <c r="G18" s="46">
        <f t="shared" si="1"/>
        <v>5324</v>
      </c>
      <c r="H18" s="46">
        <f t="shared" si="2"/>
        <v>0</v>
      </c>
      <c r="I18" s="85">
        <v>520</v>
      </c>
      <c r="J18" s="44" t="s">
        <v>63</v>
      </c>
      <c r="K18" s="57">
        <f t="shared" ca="1" si="3"/>
        <v>7.0820193557097806</v>
      </c>
      <c r="L18" s="59">
        <f t="shared" ca="1" si="4"/>
        <v>0</v>
      </c>
    </row>
    <row r="19" spans="1:12" ht="14" x14ac:dyDescent="0.15">
      <c r="A19" s="11" t="s">
        <v>135</v>
      </c>
      <c r="B19" s="11" t="s">
        <v>131</v>
      </c>
      <c r="C19" s="58">
        <v>42707</v>
      </c>
      <c r="D19" s="18">
        <v>131428</v>
      </c>
      <c r="E19" s="56">
        <f t="shared" si="0"/>
        <v>181428</v>
      </c>
      <c r="F19" s="46">
        <v>50000</v>
      </c>
      <c r="G19" s="46">
        <f t="shared" si="1"/>
        <v>56894</v>
      </c>
      <c r="H19" s="46">
        <f t="shared" si="2"/>
        <v>-6894</v>
      </c>
      <c r="I19" s="85">
        <v>125</v>
      </c>
      <c r="J19" s="44" t="s">
        <v>63</v>
      </c>
      <c r="K19" s="57">
        <f t="shared" ca="1" si="3"/>
        <v>60.715352689043115</v>
      </c>
      <c r="L19" s="59">
        <f t="shared" ca="1" si="4"/>
        <v>5.059612724086926</v>
      </c>
    </row>
    <row r="20" spans="1:12" ht="14" x14ac:dyDescent="0.15">
      <c r="A20" s="11" t="s">
        <v>115</v>
      </c>
      <c r="B20" s="11" t="s">
        <v>132</v>
      </c>
      <c r="C20" s="58">
        <v>42711</v>
      </c>
      <c r="D20" s="18">
        <v>131543</v>
      </c>
      <c r="E20" s="56">
        <f t="shared" si="0"/>
        <v>0</v>
      </c>
      <c r="G20" s="46">
        <f t="shared" si="1"/>
        <v>56779</v>
      </c>
      <c r="H20" s="46">
        <f t="shared" si="2"/>
        <v>0</v>
      </c>
      <c r="I20" s="86">
        <v>1300</v>
      </c>
      <c r="J20" s="45" t="s">
        <v>63</v>
      </c>
      <c r="K20" s="57">
        <f t="shared" ca="1" si="3"/>
        <v>60.582019355709782</v>
      </c>
      <c r="L20" s="59">
        <f t="shared" ca="1" si="4"/>
        <v>5.0485016129758149</v>
      </c>
    </row>
    <row r="21" spans="1:12" ht="14" x14ac:dyDescent="0.15">
      <c r="A21" s="26" t="s">
        <v>87</v>
      </c>
      <c r="B21" s="11" t="s">
        <v>132</v>
      </c>
      <c r="C21" s="58">
        <v>42711</v>
      </c>
      <c r="D21" s="27">
        <v>131543</v>
      </c>
      <c r="E21" s="56">
        <f t="shared" si="0"/>
        <v>0</v>
      </c>
      <c r="G21" s="46">
        <f t="shared" si="1"/>
        <v>56779</v>
      </c>
      <c r="H21" s="46">
        <f t="shared" si="2"/>
        <v>0</v>
      </c>
      <c r="I21" s="85">
        <v>80</v>
      </c>
      <c r="J21" s="44" t="s">
        <v>63</v>
      </c>
      <c r="K21" s="57">
        <f t="shared" ca="1" si="3"/>
        <v>60.582019355709782</v>
      </c>
      <c r="L21" s="59">
        <f t="shared" ca="1" si="4"/>
        <v>5.0485016129758149</v>
      </c>
    </row>
    <row r="22" spans="1:12" ht="14" x14ac:dyDescent="0.15">
      <c r="A22" s="11" t="s">
        <v>88</v>
      </c>
      <c r="B22" s="11" t="s">
        <v>132</v>
      </c>
      <c r="C22" s="58">
        <v>42734</v>
      </c>
      <c r="D22" s="18">
        <v>132715</v>
      </c>
      <c r="E22" s="56">
        <f t="shared" si="0"/>
        <v>0</v>
      </c>
      <c r="G22" s="46">
        <f t="shared" si="1"/>
        <v>55607</v>
      </c>
      <c r="H22" s="46">
        <f t="shared" si="2"/>
        <v>0</v>
      </c>
      <c r="I22" s="85">
        <v>1809.23</v>
      </c>
      <c r="J22" s="44" t="s">
        <v>63</v>
      </c>
      <c r="K22" s="57">
        <f t="shared" ca="1" si="3"/>
        <v>59.815352689043117</v>
      </c>
      <c r="L22" s="59">
        <f t="shared" ca="1" si="4"/>
        <v>4.9846127240869267</v>
      </c>
    </row>
    <row r="23" spans="1:12" ht="14" x14ac:dyDescent="0.15">
      <c r="A23" s="11" t="s">
        <v>134</v>
      </c>
      <c r="B23" s="11" t="s">
        <v>131</v>
      </c>
      <c r="C23" s="58">
        <v>42860</v>
      </c>
      <c r="D23" s="18">
        <v>136397</v>
      </c>
      <c r="E23" s="56">
        <f t="shared" si="0"/>
        <v>186397</v>
      </c>
      <c r="F23" s="46">
        <v>50000</v>
      </c>
      <c r="G23" s="46">
        <f t="shared" si="1"/>
        <v>51925</v>
      </c>
      <c r="H23" s="46">
        <f t="shared" si="2"/>
        <v>-1925</v>
      </c>
      <c r="I23" s="85">
        <v>120</v>
      </c>
      <c r="J23" s="44" t="s">
        <v>63</v>
      </c>
      <c r="K23" s="57">
        <f t="shared" ca="1" si="3"/>
        <v>55.615352689043114</v>
      </c>
      <c r="L23" s="59">
        <f t="shared" ca="1" si="4"/>
        <v>4.6346127240869261</v>
      </c>
    </row>
    <row r="24" spans="1:12" ht="14" x14ac:dyDescent="0.15">
      <c r="A24" s="10" t="s">
        <v>96</v>
      </c>
      <c r="B24" s="11" t="s">
        <v>132</v>
      </c>
      <c r="C24" s="58">
        <v>42868</v>
      </c>
      <c r="D24" s="18">
        <v>136751</v>
      </c>
      <c r="E24" s="56">
        <f t="shared" si="0"/>
        <v>0</v>
      </c>
      <c r="G24" s="46">
        <f t="shared" si="1"/>
        <v>51571</v>
      </c>
      <c r="H24" s="46">
        <f t="shared" si="2"/>
        <v>0</v>
      </c>
      <c r="I24" s="85">
        <v>355</v>
      </c>
      <c r="J24" s="44" t="s">
        <v>63</v>
      </c>
      <c r="K24" s="57">
        <f t="shared" ca="1" si="3"/>
        <v>55.348686022376448</v>
      </c>
      <c r="L24" s="59">
        <f t="shared" ca="1" si="4"/>
        <v>4.612390501864704</v>
      </c>
    </row>
    <row r="25" spans="1:12" ht="14" x14ac:dyDescent="0.15">
      <c r="A25" s="11" t="s">
        <v>123</v>
      </c>
      <c r="B25" s="11" t="s">
        <v>131</v>
      </c>
      <c r="C25" s="58">
        <v>43604</v>
      </c>
      <c r="D25" s="18">
        <v>160639</v>
      </c>
      <c r="E25" s="56">
        <f t="shared" si="0"/>
        <v>190639</v>
      </c>
      <c r="F25" s="46">
        <v>30000</v>
      </c>
      <c r="G25" s="46">
        <f t="shared" si="1"/>
        <v>27683</v>
      </c>
      <c r="H25" s="46">
        <f t="shared" si="2"/>
        <v>2317</v>
      </c>
      <c r="I25" s="85">
        <v>300</v>
      </c>
      <c r="J25" s="44" t="s">
        <v>63</v>
      </c>
      <c r="K25" s="57">
        <f t="shared" ca="1" si="3"/>
        <v>30.815352689043113</v>
      </c>
      <c r="L25" s="59">
        <f t="shared" ca="1" si="4"/>
        <v>2.5679460574202593</v>
      </c>
    </row>
    <row r="26" spans="1:12" ht="14" x14ac:dyDescent="0.15">
      <c r="A26" s="26" t="s">
        <v>55</v>
      </c>
      <c r="B26" s="11" t="s">
        <v>132</v>
      </c>
      <c r="C26" s="58">
        <v>43604</v>
      </c>
      <c r="D26" s="18">
        <v>160639</v>
      </c>
      <c r="E26" s="56">
        <f t="shared" si="0"/>
        <v>0</v>
      </c>
      <c r="G26" s="46">
        <f t="shared" si="1"/>
        <v>27683</v>
      </c>
      <c r="H26" s="46">
        <f t="shared" si="2"/>
        <v>0</v>
      </c>
      <c r="I26" s="85">
        <v>18</v>
      </c>
      <c r="J26" s="43" t="s">
        <v>63</v>
      </c>
      <c r="K26" s="57">
        <f t="shared" ca="1" si="3"/>
        <v>30.815352689043113</v>
      </c>
      <c r="L26" s="59">
        <f t="shared" ca="1" si="4"/>
        <v>2.5679460574202593</v>
      </c>
    </row>
    <row r="27" spans="1:12" ht="14" x14ac:dyDescent="0.15">
      <c r="A27" s="26" t="s">
        <v>56</v>
      </c>
      <c r="B27" s="11" t="s">
        <v>132</v>
      </c>
      <c r="C27" s="58">
        <v>43604</v>
      </c>
      <c r="D27" s="18">
        <v>160639</v>
      </c>
      <c r="E27" s="56">
        <f t="shared" si="0"/>
        <v>0</v>
      </c>
      <c r="G27" s="46">
        <f t="shared" si="1"/>
        <v>27683</v>
      </c>
      <c r="H27" s="46">
        <f t="shared" si="2"/>
        <v>0</v>
      </c>
      <c r="I27" s="85">
        <v>225</v>
      </c>
      <c r="J27" s="44" t="s">
        <v>63</v>
      </c>
      <c r="K27" s="57">
        <f t="shared" ca="1" si="3"/>
        <v>30.815352689043113</v>
      </c>
      <c r="L27" s="59">
        <f t="shared" ca="1" si="4"/>
        <v>2.5679460574202593</v>
      </c>
    </row>
    <row r="28" spans="1:12" ht="14" x14ac:dyDescent="0.15">
      <c r="A28" s="11" t="s">
        <v>137</v>
      </c>
      <c r="B28" s="11" t="s">
        <v>131</v>
      </c>
      <c r="C28" s="58">
        <v>44528</v>
      </c>
      <c r="D28" s="18">
        <v>188321</v>
      </c>
      <c r="E28" s="56">
        <f t="shared" si="0"/>
        <v>193321</v>
      </c>
      <c r="F28" s="46">
        <v>5000</v>
      </c>
      <c r="G28" s="46">
        <f t="shared" si="1"/>
        <v>1</v>
      </c>
      <c r="H28" s="46">
        <f t="shared" si="2"/>
        <v>4999</v>
      </c>
      <c r="I28" s="85">
        <v>135</v>
      </c>
      <c r="J28" s="43" t="s">
        <v>111</v>
      </c>
      <c r="K28" s="57">
        <f t="shared" ca="1" si="3"/>
        <v>1.5352689043114272E-2</v>
      </c>
      <c r="L28" s="59">
        <f t="shared" ca="1" si="4"/>
        <v>0</v>
      </c>
    </row>
    <row r="29" spans="1:12" x14ac:dyDescent="0.15">
      <c r="A29" s="26"/>
      <c r="B29" s="27"/>
      <c r="C29" s="28"/>
      <c r="D29" s="29"/>
      <c r="E29" s="30"/>
    </row>
    <row r="30" spans="1:12" x14ac:dyDescent="0.15">
      <c r="D30" s="22"/>
    </row>
    <row r="32" spans="1:12" x14ac:dyDescent="0.15">
      <c r="G32" s="89" t="s">
        <v>67</v>
      </c>
      <c r="H32" s="89"/>
      <c r="I32" s="20">
        <f>SUMIF(J10:J28,"Y",I10:I28)</f>
        <v>441</v>
      </c>
    </row>
    <row r="33" spans="7:10" ht="14" x14ac:dyDescent="0.15">
      <c r="G33" s="22"/>
      <c r="H33" s="23" t="s">
        <v>68</v>
      </c>
      <c r="I33" s="19">
        <f>IF(I32=0,0,(I32*K3)+K2)</f>
        <v>70.87</v>
      </c>
    </row>
    <row r="34" spans="7:10" ht="14" x14ac:dyDescent="0.15">
      <c r="G34" s="22"/>
      <c r="H34" s="23" t="s">
        <v>69</v>
      </c>
      <c r="I34" s="21">
        <f>I32+I33</f>
        <v>511.87</v>
      </c>
      <c r="J34" s="69"/>
    </row>
  </sheetData>
  <autoFilter ref="A9:K16" xr:uid="{3ABE0E0D-9FC3-E94A-8413-EE2219B53404}">
    <sortState xmlns:xlrd2="http://schemas.microsoft.com/office/spreadsheetml/2017/richdata2" ref="A10:K28">
      <sortCondition descending="1" ref="G9:G28"/>
    </sortState>
  </autoFilter>
  <sortState xmlns:xlrd2="http://schemas.microsoft.com/office/spreadsheetml/2017/richdata2" ref="A10:L28">
    <sortCondition descending="1" ref="B10:B28"/>
    <sortCondition ref="G10:G28"/>
  </sortState>
  <mergeCells count="3">
    <mergeCell ref="G32:H32"/>
    <mergeCell ref="E2:G2"/>
    <mergeCell ref="E3:G3"/>
  </mergeCells>
  <conditionalFormatting sqref="L10:L28">
    <cfRule type="cellIs" dxfId="2" priority="1" operator="greaterThanOrEqual">
      <formula>5</formula>
    </cfRule>
  </conditionalFormatting>
  <conditionalFormatting sqref="L16">
    <cfRule type="cellIs" dxfId="1" priority="2" operator="greaterThan">
      <formula>3.51</formula>
    </cfRule>
    <cfRule type="cellIs" dxfId="0" priority="3" operator="between">
      <formula>3</formula>
      <formula>3.5</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Truck Details</vt:lpstr>
      <vt:lpstr>Oil Changes - Oil Changes and M</vt:lpstr>
      <vt:lpstr>Other Services</vt:lpstr>
      <vt:lpstr>Misc - Observations</vt:lpstr>
      <vt:lpstr>Interval Tracking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Bernard</dc:creator>
  <cp:lastModifiedBy>Matt Bernard</cp:lastModifiedBy>
  <dcterms:created xsi:type="dcterms:W3CDTF">2018-03-29T20:33:13Z</dcterms:created>
  <dcterms:modified xsi:type="dcterms:W3CDTF">2025-11-29T16:03:31Z</dcterms:modified>
</cp:coreProperties>
</file>